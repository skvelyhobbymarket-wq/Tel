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kce" sheetId="1" state="visible" r:id="rId1"/>
    <sheet name="Zakladni sortiment" sheetId="2" state="visible" r:id="rId2"/>
    <sheet name="Mimo pracovni dobu" sheetId="3" state="visible" r:id="rId3"/>
    <sheet name="Skupiny" sheetId="4" state="visible" r:id="rId4"/>
    <sheet name="Kandidatni polozky" sheetId="5" state="visible" r:id="rId5"/>
    <sheet name="Metodik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3" fontId="1" fillId="0" borderId="0" pivotButton="0" quotePrefix="0" xfId="0"/>
    <xf numFmtId="3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Predikce obratu bezobslužné prodejny 24/7 (Kč bez DPH). Žluté buňky = parametry k úpravě.</t>
        </is>
      </c>
    </row>
    <row r="3">
      <c r="A3" s="2" t="inlineStr">
        <is>
          <t>Parametr</t>
        </is>
      </c>
      <c r="B3" s="2" t="inlineStr">
        <is>
          <t>Pesimistický</t>
        </is>
      </c>
      <c r="C3" s="2" t="inlineStr">
        <is>
          <t>Realistický</t>
        </is>
      </c>
      <c r="D3" s="2" t="inlineStr">
        <is>
          <t>Optimistický</t>
        </is>
      </c>
    </row>
    <row r="4">
      <c r="A4" t="inlineStr">
        <is>
          <t>Základ: prodej základního sortimentu v Solnici, průměrný měsíc (Kč bez DPH)</t>
        </is>
      </c>
      <c r="B4" s="3" t="n">
        <v>179767</v>
      </c>
      <c r="C4" s="3" t="n">
        <v>179767</v>
      </c>
      <c r="D4" s="3" t="n">
        <v>179767</v>
      </c>
      <c r="E4" t="inlineStr">
        <is>
          <t>Z listu Zakladni sortiment, 162 333 Kč v okně březen/duben, přepočteno sezónním indexem</t>
        </is>
      </c>
    </row>
    <row r="5">
      <c r="A5" t="inlineStr">
        <is>
          <t>Faktor lokality (poptávka nového města vs. Solnice)</t>
        </is>
      </c>
      <c r="B5" s="4" t="n">
        <v>0.25</v>
      </c>
      <c r="C5" s="4" t="n">
        <v>0.4</v>
      </c>
      <c r="D5" s="4" t="n">
        <v>0.6</v>
      </c>
      <c r="E5" t="inlineStr">
        <is>
          <t>Solnice = zavedená prodejna od 2012, 52 nákupů/den; nové město bez historie</t>
        </is>
      </c>
    </row>
    <row r="6">
      <c r="A6" t="inlineStr">
        <is>
          <t>Uplift 24/7 (nákupy mimo běžnou otevírací dobu)</t>
        </is>
      </c>
      <c r="B6" s="4" t="n">
        <v>1.05</v>
      </c>
      <c r="C6" s="4" t="n">
        <v>1.15</v>
      </c>
      <c r="D6" s="4" t="n">
        <v>1.25</v>
      </c>
      <c r="E6" t="inlineStr"/>
    </row>
    <row r="7">
      <c r="A7" t="inlineStr">
        <is>
          <t>Ztráty krádežemi a šlonky (% obratu)</t>
        </is>
      </c>
      <c r="B7" s="5" t="n">
        <v>0.05</v>
      </c>
      <c r="C7" s="5" t="n">
        <v>0.03</v>
      </c>
      <c r="D7" s="5" t="n">
        <v>0.02</v>
      </c>
      <c r="E7" t="inlineStr"/>
    </row>
    <row r="8">
      <c r="A8" t="inlineStr">
        <is>
          <t>Obchodní marže</t>
        </is>
      </c>
      <c r="B8" s="5" t="n">
        <v>0.36</v>
      </c>
      <c r="C8" s="5" t="n">
        <v>0.38</v>
      </c>
      <c r="D8" s="5" t="n">
        <v>0.4</v>
      </c>
      <c r="E8" t="inlineStr">
        <is>
          <t>Prodejna 1 podle exportu 38 %</t>
        </is>
      </c>
    </row>
    <row r="9">
      <c r="A9" t="inlineStr">
        <is>
          <t>Poplatky za platby (% obratu)</t>
        </is>
      </c>
      <c r="B9" s="5" t="n">
        <v>0.012</v>
      </c>
      <c r="C9" s="5" t="n">
        <v>0.012</v>
      </c>
      <c r="D9" s="5" t="n">
        <v>0.012</v>
      </c>
      <c r="E9" t="inlineStr"/>
    </row>
    <row r="10">
      <c r="A10" t="inlineStr">
        <is>
          <t>Nájem Kč/měs</t>
        </is>
      </c>
      <c r="B10" s="3" t="n">
        <v>12000</v>
      </c>
      <c r="C10" s="3" t="n">
        <v>12000</v>
      </c>
      <c r="D10" s="3" t="n">
        <v>12000</v>
      </c>
      <c r="E10" t="inlineStr">
        <is>
          <t>samostatná jednotka; při rozšíření stávající prodejny 0</t>
        </is>
      </c>
    </row>
    <row r="11">
      <c r="A11" t="inlineStr">
        <is>
          <t>Energie Kč/měs</t>
        </is>
      </c>
      <c r="B11" s="3" t="n">
        <v>3000</v>
      </c>
      <c r="C11" s="3" t="n">
        <v>3000</v>
      </c>
      <c r="D11" s="3" t="n">
        <v>3000</v>
      </c>
      <c r="E11" t="inlineStr"/>
    </row>
    <row r="12">
      <c r="A12" t="inlineStr">
        <is>
          <t>Technologie (vstup, samoobslužná pokladna, kamery, SW) Kč/měs</t>
        </is>
      </c>
      <c r="B12" s="3" t="n">
        <v>7000</v>
      </c>
      <c r="C12" s="3" t="n">
        <v>7000</v>
      </c>
      <c r="D12" s="3" t="n">
        <v>7000</v>
      </c>
      <c r="E12" t="inlineStr">
        <is>
          <t>amortizace + licence</t>
        </is>
      </c>
    </row>
    <row r="13">
      <c r="A13" t="inlineStr">
        <is>
          <t>Doplňování zboží a úklid Kč/měs</t>
        </is>
      </c>
      <c r="B13" s="3" t="n">
        <v>8000</v>
      </c>
      <c r="C13" s="3" t="n">
        <v>8000</v>
      </c>
      <c r="D13" s="3" t="n">
        <v>8000</v>
      </c>
      <c r="E13" t="inlineStr"/>
    </row>
    <row r="14">
      <c r="A14" t="inlineStr">
        <is>
          <t>Pojištění Kč/měs</t>
        </is>
      </c>
      <c r="B14" s="3" t="n">
        <v>1000</v>
      </c>
      <c r="C14" s="3" t="n">
        <v>1000</v>
      </c>
      <c r="D14" s="3" t="n">
        <v>1000</v>
      </c>
      <c r="E14" t="inlineStr"/>
    </row>
    <row r="16">
      <c r="A16" s="1" t="inlineStr">
        <is>
          <t>Sezónní index (tržby Drogerie 2023–24)</t>
        </is>
      </c>
    </row>
    <row r="17">
      <c r="A17" s="2" t="inlineStr">
        <is>
          <t>Měsíc</t>
        </is>
      </c>
      <c r="B17" s="2" t="inlineStr">
        <is>
          <t>Index</t>
        </is>
      </c>
      <c r="C17" s="2" t="inlineStr">
        <is>
          <t>Rozjezd rok 1</t>
        </is>
      </c>
      <c r="E17" t="inlineStr">
        <is>
          <t>Rozjezd: podíl plného prodeje v 1.–12. měsíci provozu (počítá se od ledna; start v jiném měsíci = posunout hodnoty)</t>
        </is>
      </c>
    </row>
    <row r="18">
      <c r="A18" t="inlineStr">
        <is>
          <t>leden</t>
        </is>
      </c>
      <c r="B18" t="n">
        <v>0.61</v>
      </c>
      <c r="C18" s="4" t="n">
        <v>0.5</v>
      </c>
    </row>
    <row r="19">
      <c r="A19" t="inlineStr">
        <is>
          <t>únor</t>
        </is>
      </c>
      <c r="B19" t="n">
        <v>0.67</v>
      </c>
      <c r="C19" s="4" t="n">
        <v>0.65</v>
      </c>
    </row>
    <row r="20">
      <c r="A20" t="inlineStr">
        <is>
          <t>březen</t>
        </is>
      </c>
      <c r="B20" t="n">
        <v>0.843</v>
      </c>
      <c r="C20" s="4" t="n">
        <v>0.8</v>
      </c>
    </row>
    <row r="21">
      <c r="A21" t="inlineStr">
        <is>
          <t>duben</t>
        </is>
      </c>
      <c r="B21" t="n">
        <v>0.963</v>
      </c>
      <c r="C21" s="4" t="n">
        <v>0.9</v>
      </c>
    </row>
    <row r="22">
      <c r="A22" t="inlineStr">
        <is>
          <t>květen</t>
        </is>
      </c>
      <c r="B22" t="n">
        <v>1.242</v>
      </c>
      <c r="C22" s="4" t="n">
        <v>1</v>
      </c>
    </row>
    <row r="23">
      <c r="A23" t="inlineStr">
        <is>
          <t>červen</t>
        </is>
      </c>
      <c r="B23" t="n">
        <v>1.212</v>
      </c>
      <c r="C23" s="4" t="n">
        <v>1</v>
      </c>
    </row>
    <row r="24">
      <c r="A24" t="inlineStr">
        <is>
          <t>červenec</t>
        </is>
      </c>
      <c r="B24" t="n">
        <v>1.362</v>
      </c>
      <c r="C24" s="4" t="n">
        <v>1</v>
      </c>
    </row>
    <row r="25">
      <c r="A25" t="inlineStr">
        <is>
          <t>srpen</t>
        </is>
      </c>
      <c r="B25" t="n">
        <v>1.284</v>
      </c>
      <c r="C25" s="4" t="n">
        <v>1</v>
      </c>
    </row>
    <row r="26">
      <c r="A26" t="inlineStr">
        <is>
          <t>září</t>
        </is>
      </c>
      <c r="B26" t="n">
        <v>1.123</v>
      </c>
      <c r="C26" s="4" t="n">
        <v>1</v>
      </c>
    </row>
    <row r="27">
      <c r="A27" t="inlineStr">
        <is>
          <t>říjen</t>
        </is>
      </c>
      <c r="B27" t="n">
        <v>1.036</v>
      </c>
      <c r="C27" s="4" t="n">
        <v>1</v>
      </c>
    </row>
    <row r="28">
      <c r="A28" t="inlineStr">
        <is>
          <t>listopad</t>
        </is>
      </c>
      <c r="B28" t="n">
        <v>0.98</v>
      </c>
      <c r="C28" s="4" t="n">
        <v>1</v>
      </c>
    </row>
    <row r="29">
      <c r="A29" t="inlineStr">
        <is>
          <t>prosinec</t>
        </is>
      </c>
      <c r="B29" t="n">
        <v>0.918</v>
      </c>
      <c r="C29" s="4" t="n">
        <v>1</v>
      </c>
    </row>
    <row r="31">
      <c r="A31" s="1" t="inlineStr">
        <is>
          <t>Měsíční predikce – ustálený rok (bez rozjezdu)</t>
        </is>
      </c>
    </row>
    <row r="32">
      <c r="A32" t="inlineStr">
        <is>
          <t>Měsíc</t>
        </is>
      </c>
      <c r="B32" s="2" t="inlineStr">
        <is>
          <t>Pesimistický – Obrat</t>
        </is>
      </c>
      <c r="C32" s="2" t="inlineStr">
        <is>
          <t>Pesimistický – Hrubý zisk po ztrátách a poplatcích</t>
        </is>
      </c>
      <c r="D32" s="2" t="inlineStr">
        <is>
          <t>Pesimistický – Výsledek po fixních nákladech</t>
        </is>
      </c>
      <c r="E32" s="2" t="inlineStr">
        <is>
          <t>Realistický – Obrat</t>
        </is>
      </c>
      <c r="F32" s="2" t="inlineStr">
        <is>
          <t>Realistický – Hrubý zisk po ztrátách a poplatcích</t>
        </is>
      </c>
      <c r="G32" s="2" t="inlineStr">
        <is>
          <t>Realistický – Výsledek po fixních nákladech</t>
        </is>
      </c>
      <c r="H32" s="2" t="inlineStr">
        <is>
          <t>Optimistický – Obrat</t>
        </is>
      </c>
      <c r="I32" s="2" t="inlineStr">
        <is>
          <t>Optimistický – Hrubý zisk po ztrátách a poplatcích</t>
        </is>
      </c>
      <c r="J32" s="2" t="inlineStr">
        <is>
          <t>Optimistický – Výsledek po fixních nákladech</t>
        </is>
      </c>
    </row>
    <row r="33">
      <c r="A33" t="inlineStr">
        <is>
          <t>leden</t>
        </is>
      </c>
      <c r="B33" s="6">
        <f>B$4*$B18*B$5*B$6</f>
        <v/>
      </c>
      <c r="C33" s="6">
        <f>B33*(B$8*(1-B$7)-B$9)</f>
        <v/>
      </c>
      <c r="D33" s="6">
        <f>C33-SUM(B$10:B$14)</f>
        <v/>
      </c>
      <c r="E33" s="6">
        <f>C$4*$B18*C$5*C$6</f>
        <v/>
      </c>
      <c r="F33" s="6">
        <f>E33*(C$8*(1-C$7)-C$9)</f>
        <v/>
      </c>
      <c r="G33" s="6">
        <f>F33-SUM(C$10:C$14)</f>
        <v/>
      </c>
      <c r="H33" s="6">
        <f>D$4*$B18*D$5*D$6</f>
        <v/>
      </c>
      <c r="I33" s="6">
        <f>H33*(D$8*(1-D$7)-D$9)</f>
        <v/>
      </c>
      <c r="J33" s="6">
        <f>I33-SUM(D$10:D$14)</f>
        <v/>
      </c>
    </row>
    <row r="34">
      <c r="A34" t="inlineStr">
        <is>
          <t>únor</t>
        </is>
      </c>
      <c r="B34" s="6">
        <f>B$4*$B19*B$5*B$6</f>
        <v/>
      </c>
      <c r="C34" s="6">
        <f>B34*(B$8*(1-B$7)-B$9)</f>
        <v/>
      </c>
      <c r="D34" s="6">
        <f>C34-SUM(B$10:B$14)</f>
        <v/>
      </c>
      <c r="E34" s="6">
        <f>C$4*$B19*C$5*C$6</f>
        <v/>
      </c>
      <c r="F34" s="6">
        <f>E34*(C$8*(1-C$7)-C$9)</f>
        <v/>
      </c>
      <c r="G34" s="6">
        <f>F34-SUM(C$10:C$14)</f>
        <v/>
      </c>
      <c r="H34" s="6">
        <f>D$4*$B19*D$5*D$6</f>
        <v/>
      </c>
      <c r="I34" s="6">
        <f>H34*(D$8*(1-D$7)-D$9)</f>
        <v/>
      </c>
      <c r="J34" s="6">
        <f>I34-SUM(D$10:D$14)</f>
        <v/>
      </c>
    </row>
    <row r="35">
      <c r="A35" t="inlineStr">
        <is>
          <t>březen</t>
        </is>
      </c>
      <c r="B35" s="6">
        <f>B$4*$B20*B$5*B$6</f>
        <v/>
      </c>
      <c r="C35" s="6">
        <f>B35*(B$8*(1-B$7)-B$9)</f>
        <v/>
      </c>
      <c r="D35" s="6">
        <f>C35-SUM(B$10:B$14)</f>
        <v/>
      </c>
      <c r="E35" s="6">
        <f>C$4*$B20*C$5*C$6</f>
        <v/>
      </c>
      <c r="F35" s="6">
        <f>E35*(C$8*(1-C$7)-C$9)</f>
        <v/>
      </c>
      <c r="G35" s="6">
        <f>F35-SUM(C$10:C$14)</f>
        <v/>
      </c>
      <c r="H35" s="6">
        <f>D$4*$B20*D$5*D$6</f>
        <v/>
      </c>
      <c r="I35" s="6">
        <f>H35*(D$8*(1-D$7)-D$9)</f>
        <v/>
      </c>
      <c r="J35" s="6">
        <f>I35-SUM(D$10:D$14)</f>
        <v/>
      </c>
    </row>
    <row r="36">
      <c r="A36" t="inlineStr">
        <is>
          <t>duben</t>
        </is>
      </c>
      <c r="B36" s="6">
        <f>B$4*$B21*B$5*B$6</f>
        <v/>
      </c>
      <c r="C36" s="6">
        <f>B36*(B$8*(1-B$7)-B$9)</f>
        <v/>
      </c>
      <c r="D36" s="6">
        <f>C36-SUM(B$10:B$14)</f>
        <v/>
      </c>
      <c r="E36" s="6">
        <f>C$4*$B21*C$5*C$6</f>
        <v/>
      </c>
      <c r="F36" s="6">
        <f>E36*(C$8*(1-C$7)-C$9)</f>
        <v/>
      </c>
      <c r="G36" s="6">
        <f>F36-SUM(C$10:C$14)</f>
        <v/>
      </c>
      <c r="H36" s="6">
        <f>D$4*$B21*D$5*D$6</f>
        <v/>
      </c>
      <c r="I36" s="6">
        <f>H36*(D$8*(1-D$7)-D$9)</f>
        <v/>
      </c>
      <c r="J36" s="6">
        <f>I36-SUM(D$10:D$14)</f>
        <v/>
      </c>
    </row>
    <row r="37">
      <c r="A37" t="inlineStr">
        <is>
          <t>květen</t>
        </is>
      </c>
      <c r="B37" s="6">
        <f>B$4*$B22*B$5*B$6</f>
        <v/>
      </c>
      <c r="C37" s="6">
        <f>B37*(B$8*(1-B$7)-B$9)</f>
        <v/>
      </c>
      <c r="D37" s="6">
        <f>C37-SUM(B$10:B$14)</f>
        <v/>
      </c>
      <c r="E37" s="6">
        <f>C$4*$B22*C$5*C$6</f>
        <v/>
      </c>
      <c r="F37" s="6">
        <f>E37*(C$8*(1-C$7)-C$9)</f>
        <v/>
      </c>
      <c r="G37" s="6">
        <f>F37-SUM(C$10:C$14)</f>
        <v/>
      </c>
      <c r="H37" s="6">
        <f>D$4*$B22*D$5*D$6</f>
        <v/>
      </c>
      <c r="I37" s="6">
        <f>H37*(D$8*(1-D$7)-D$9)</f>
        <v/>
      </c>
      <c r="J37" s="6">
        <f>I37-SUM(D$10:D$14)</f>
        <v/>
      </c>
    </row>
    <row r="38">
      <c r="A38" t="inlineStr">
        <is>
          <t>červen</t>
        </is>
      </c>
      <c r="B38" s="6">
        <f>B$4*$B23*B$5*B$6</f>
        <v/>
      </c>
      <c r="C38" s="6">
        <f>B38*(B$8*(1-B$7)-B$9)</f>
        <v/>
      </c>
      <c r="D38" s="6">
        <f>C38-SUM(B$10:B$14)</f>
        <v/>
      </c>
      <c r="E38" s="6">
        <f>C$4*$B23*C$5*C$6</f>
        <v/>
      </c>
      <c r="F38" s="6">
        <f>E38*(C$8*(1-C$7)-C$9)</f>
        <v/>
      </c>
      <c r="G38" s="6">
        <f>F38-SUM(C$10:C$14)</f>
        <v/>
      </c>
      <c r="H38" s="6">
        <f>D$4*$B23*D$5*D$6</f>
        <v/>
      </c>
      <c r="I38" s="6">
        <f>H38*(D$8*(1-D$7)-D$9)</f>
        <v/>
      </c>
      <c r="J38" s="6">
        <f>I38-SUM(D$10:D$14)</f>
        <v/>
      </c>
    </row>
    <row r="39">
      <c r="A39" t="inlineStr">
        <is>
          <t>červenec</t>
        </is>
      </c>
      <c r="B39" s="6">
        <f>B$4*$B24*B$5*B$6</f>
        <v/>
      </c>
      <c r="C39" s="6">
        <f>B39*(B$8*(1-B$7)-B$9)</f>
        <v/>
      </c>
      <c r="D39" s="6">
        <f>C39-SUM(B$10:B$14)</f>
        <v/>
      </c>
      <c r="E39" s="6">
        <f>C$4*$B24*C$5*C$6</f>
        <v/>
      </c>
      <c r="F39" s="6">
        <f>E39*(C$8*(1-C$7)-C$9)</f>
        <v/>
      </c>
      <c r="G39" s="6">
        <f>F39-SUM(C$10:C$14)</f>
        <v/>
      </c>
      <c r="H39" s="6">
        <f>D$4*$B24*D$5*D$6</f>
        <v/>
      </c>
      <c r="I39" s="6">
        <f>H39*(D$8*(1-D$7)-D$9)</f>
        <v/>
      </c>
      <c r="J39" s="6">
        <f>I39-SUM(D$10:D$14)</f>
        <v/>
      </c>
    </row>
    <row r="40">
      <c r="A40" t="inlineStr">
        <is>
          <t>srpen</t>
        </is>
      </c>
      <c r="B40" s="6">
        <f>B$4*$B25*B$5*B$6</f>
        <v/>
      </c>
      <c r="C40" s="6">
        <f>B40*(B$8*(1-B$7)-B$9)</f>
        <v/>
      </c>
      <c r="D40" s="6">
        <f>C40-SUM(B$10:B$14)</f>
        <v/>
      </c>
      <c r="E40" s="6">
        <f>C$4*$B25*C$5*C$6</f>
        <v/>
      </c>
      <c r="F40" s="6">
        <f>E40*(C$8*(1-C$7)-C$9)</f>
        <v/>
      </c>
      <c r="G40" s="6">
        <f>F40-SUM(C$10:C$14)</f>
        <v/>
      </c>
      <c r="H40" s="6">
        <f>D$4*$B25*D$5*D$6</f>
        <v/>
      </c>
      <c r="I40" s="6">
        <f>H40*(D$8*(1-D$7)-D$9)</f>
        <v/>
      </c>
      <c r="J40" s="6">
        <f>I40-SUM(D$10:D$14)</f>
        <v/>
      </c>
    </row>
    <row r="41">
      <c r="A41" t="inlineStr">
        <is>
          <t>září</t>
        </is>
      </c>
      <c r="B41" s="6">
        <f>B$4*$B26*B$5*B$6</f>
        <v/>
      </c>
      <c r="C41" s="6">
        <f>B41*(B$8*(1-B$7)-B$9)</f>
        <v/>
      </c>
      <c r="D41" s="6">
        <f>C41-SUM(B$10:B$14)</f>
        <v/>
      </c>
      <c r="E41" s="6">
        <f>C$4*$B26*C$5*C$6</f>
        <v/>
      </c>
      <c r="F41" s="6">
        <f>E41*(C$8*(1-C$7)-C$9)</f>
        <v/>
      </c>
      <c r="G41" s="6">
        <f>F41-SUM(C$10:C$14)</f>
        <v/>
      </c>
      <c r="H41" s="6">
        <f>D$4*$B26*D$5*D$6</f>
        <v/>
      </c>
      <c r="I41" s="6">
        <f>H41*(D$8*(1-D$7)-D$9)</f>
        <v/>
      </c>
      <c r="J41" s="6">
        <f>I41-SUM(D$10:D$14)</f>
        <v/>
      </c>
    </row>
    <row r="42">
      <c r="A42" t="inlineStr">
        <is>
          <t>říjen</t>
        </is>
      </c>
      <c r="B42" s="6">
        <f>B$4*$B27*B$5*B$6</f>
        <v/>
      </c>
      <c r="C42" s="6">
        <f>B42*(B$8*(1-B$7)-B$9)</f>
        <v/>
      </c>
      <c r="D42" s="6">
        <f>C42-SUM(B$10:B$14)</f>
        <v/>
      </c>
      <c r="E42" s="6">
        <f>C$4*$B27*C$5*C$6</f>
        <v/>
      </c>
      <c r="F42" s="6">
        <f>E42*(C$8*(1-C$7)-C$9)</f>
        <v/>
      </c>
      <c r="G42" s="6">
        <f>F42-SUM(C$10:C$14)</f>
        <v/>
      </c>
      <c r="H42" s="6">
        <f>D$4*$B27*D$5*D$6</f>
        <v/>
      </c>
      <c r="I42" s="6">
        <f>H42*(D$8*(1-D$7)-D$9)</f>
        <v/>
      </c>
      <c r="J42" s="6">
        <f>I42-SUM(D$10:D$14)</f>
        <v/>
      </c>
    </row>
    <row r="43">
      <c r="A43" t="inlineStr">
        <is>
          <t>listopad</t>
        </is>
      </c>
      <c r="B43" s="6">
        <f>B$4*$B28*B$5*B$6</f>
        <v/>
      </c>
      <c r="C43" s="6">
        <f>B43*(B$8*(1-B$7)-B$9)</f>
        <v/>
      </c>
      <c r="D43" s="6">
        <f>C43-SUM(B$10:B$14)</f>
        <v/>
      </c>
      <c r="E43" s="6">
        <f>C$4*$B28*C$5*C$6</f>
        <v/>
      </c>
      <c r="F43" s="6">
        <f>E43*(C$8*(1-C$7)-C$9)</f>
        <v/>
      </c>
      <c r="G43" s="6">
        <f>F43-SUM(C$10:C$14)</f>
        <v/>
      </c>
      <c r="H43" s="6">
        <f>D$4*$B28*D$5*D$6</f>
        <v/>
      </c>
      <c r="I43" s="6">
        <f>H43*(D$8*(1-D$7)-D$9)</f>
        <v/>
      </c>
      <c r="J43" s="6">
        <f>I43-SUM(D$10:D$14)</f>
        <v/>
      </c>
    </row>
    <row r="44">
      <c r="A44" t="inlineStr">
        <is>
          <t>prosinec</t>
        </is>
      </c>
      <c r="B44" s="6">
        <f>B$4*$B29*B$5*B$6</f>
        <v/>
      </c>
      <c r="C44" s="6">
        <f>B44*(B$8*(1-B$7)-B$9)</f>
        <v/>
      </c>
      <c r="D44" s="6">
        <f>C44-SUM(B$10:B$14)</f>
        <v/>
      </c>
      <c r="E44" s="6">
        <f>C$4*$B29*C$5*C$6</f>
        <v/>
      </c>
      <c r="F44" s="6">
        <f>E44*(C$8*(1-C$7)-C$9)</f>
        <v/>
      </c>
      <c r="G44" s="6">
        <f>F44-SUM(C$10:C$14)</f>
        <v/>
      </c>
      <c r="H44" s="6">
        <f>D$4*$B29*D$5*D$6</f>
        <v/>
      </c>
      <c r="I44" s="6">
        <f>H44*(D$8*(1-D$7)-D$9)</f>
        <v/>
      </c>
      <c r="J44" s="6">
        <f>I44-SUM(D$10:D$14)</f>
        <v/>
      </c>
    </row>
    <row r="45">
      <c r="A45" s="1" t="inlineStr">
        <is>
          <t>Celkem rok</t>
        </is>
      </c>
      <c r="B45" s="7">
        <f>SUM(B33:B44)</f>
        <v/>
      </c>
      <c r="C45" s="7">
        <f>SUM(C33:C44)</f>
        <v/>
      </c>
      <c r="D45" s="7">
        <f>SUM(D33:D44)</f>
        <v/>
      </c>
      <c r="E45" s="7">
        <f>SUM(E33:E44)</f>
        <v/>
      </c>
      <c r="F45" s="7">
        <f>SUM(F33:F44)</f>
        <v/>
      </c>
      <c r="G45" s="7">
        <f>SUM(G33:G44)</f>
        <v/>
      </c>
      <c r="H45" s="7">
        <f>SUM(H33:H44)</f>
        <v/>
      </c>
      <c r="I45" s="7">
        <f>SUM(I33:I44)</f>
        <v/>
      </c>
      <c r="J45" s="7">
        <f>SUM(J33:J44)</f>
        <v/>
      </c>
    </row>
    <row r="46">
      <c r="A46" t="inlineStr">
        <is>
          <t>Break-even obrat/měs</t>
        </is>
      </c>
      <c r="B46" s="6">
        <f>SUM(B10:B14)/(B8*(1-B7)-B9)</f>
        <v/>
      </c>
      <c r="C46" s="6" t="n"/>
      <c r="D46" s="6" t="n"/>
      <c r="E46" s="6">
        <f>SUM(C10:C14)/(C8*(1-C7)-C9)</f>
        <v/>
      </c>
      <c r="F46" s="6" t="n"/>
      <c r="G46" s="6" t="n"/>
      <c r="H46" s="6">
        <f>SUM(D10:D14)/(D8*(1-D7)-D9)</f>
        <v/>
      </c>
      <c r="I46" s="6" t="n"/>
      <c r="J46" s="6" t="n"/>
    </row>
    <row r="47"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1" t="inlineStr">
        <is>
          <t>Rok 1 s rozjezdem (start v lednu; pro start v dubnu posuňte sloupec C17:C29)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t="inlineStr">
        <is>
          <t>Měsíc</t>
        </is>
      </c>
      <c r="B50" s="8" t="inlineStr">
        <is>
          <t>Pesimistický – Obrat</t>
        </is>
      </c>
      <c r="C50" s="8" t="inlineStr">
        <is>
          <t>Pesimistický – Hrubý zisk po ztrátách a poplatcích</t>
        </is>
      </c>
      <c r="D50" s="8" t="inlineStr">
        <is>
          <t>Pesimistický – Výsledek po fixních nákladech</t>
        </is>
      </c>
      <c r="E50" s="8" t="inlineStr">
        <is>
          <t>Realistický – Obrat</t>
        </is>
      </c>
      <c r="F50" s="8" t="inlineStr">
        <is>
          <t>Realistický – Hrubý zisk po ztrátách a poplatcích</t>
        </is>
      </c>
      <c r="G50" s="8" t="inlineStr">
        <is>
          <t>Realistický – Výsledek po fixních nákladech</t>
        </is>
      </c>
      <c r="H50" s="8" t="inlineStr">
        <is>
          <t>Optimistický – Obrat</t>
        </is>
      </c>
      <c r="I50" s="8" t="inlineStr">
        <is>
          <t>Optimistický – Hrubý zisk po ztrátách a poplatcích</t>
        </is>
      </c>
      <c r="J50" s="8" t="inlineStr">
        <is>
          <t>Optimistický – Výsledek po fixních nákladech</t>
        </is>
      </c>
    </row>
    <row r="51">
      <c r="A51" t="inlineStr">
        <is>
          <t>leden</t>
        </is>
      </c>
      <c r="B51" s="6">
        <f>B$4*$B18*$C18*B$5*B$6</f>
        <v/>
      </c>
      <c r="C51" s="6">
        <f>B51*(B$8*(1-B$7)-B$9)</f>
        <v/>
      </c>
      <c r="D51" s="6">
        <f>C51-SUM(B$10:B$14)</f>
        <v/>
      </c>
      <c r="E51" s="6">
        <f>C$4*$B18*$C18*C$5*C$6</f>
        <v/>
      </c>
      <c r="F51" s="6">
        <f>E51*(C$8*(1-C$7)-C$9)</f>
        <v/>
      </c>
      <c r="G51" s="6">
        <f>F51-SUM(C$10:C$14)</f>
        <v/>
      </c>
      <c r="H51" s="6">
        <f>D$4*$B18*$C18*D$5*D$6</f>
        <v/>
      </c>
      <c r="I51" s="6">
        <f>H51*(D$8*(1-D$7)-D$9)</f>
        <v/>
      </c>
      <c r="J51" s="6">
        <f>I51-SUM(D$10:D$14)</f>
        <v/>
      </c>
    </row>
    <row r="52">
      <c r="A52" t="inlineStr">
        <is>
          <t>únor</t>
        </is>
      </c>
      <c r="B52" s="6">
        <f>B$4*$B19*$C19*B$5*B$6</f>
        <v/>
      </c>
      <c r="C52" s="6">
        <f>B52*(B$8*(1-B$7)-B$9)</f>
        <v/>
      </c>
      <c r="D52" s="6">
        <f>C52-SUM(B$10:B$14)</f>
        <v/>
      </c>
      <c r="E52" s="6">
        <f>C$4*$B19*$C19*C$5*C$6</f>
        <v/>
      </c>
      <c r="F52" s="6">
        <f>E52*(C$8*(1-C$7)-C$9)</f>
        <v/>
      </c>
      <c r="G52" s="6">
        <f>F52-SUM(C$10:C$14)</f>
        <v/>
      </c>
      <c r="H52" s="6">
        <f>D$4*$B19*$C19*D$5*D$6</f>
        <v/>
      </c>
      <c r="I52" s="6">
        <f>H52*(D$8*(1-D$7)-D$9)</f>
        <v/>
      </c>
      <c r="J52" s="6">
        <f>I52-SUM(D$10:D$14)</f>
        <v/>
      </c>
    </row>
    <row r="53">
      <c r="A53" t="inlineStr">
        <is>
          <t>březen</t>
        </is>
      </c>
      <c r="B53" s="6">
        <f>B$4*$B20*$C20*B$5*B$6</f>
        <v/>
      </c>
      <c r="C53" s="6">
        <f>B53*(B$8*(1-B$7)-B$9)</f>
        <v/>
      </c>
      <c r="D53" s="6">
        <f>C53-SUM(B$10:B$14)</f>
        <v/>
      </c>
      <c r="E53" s="6">
        <f>C$4*$B20*$C20*C$5*C$6</f>
        <v/>
      </c>
      <c r="F53" s="6">
        <f>E53*(C$8*(1-C$7)-C$9)</f>
        <v/>
      </c>
      <c r="G53" s="6">
        <f>F53-SUM(C$10:C$14)</f>
        <v/>
      </c>
      <c r="H53" s="6">
        <f>D$4*$B20*$C20*D$5*D$6</f>
        <v/>
      </c>
      <c r="I53" s="6">
        <f>H53*(D$8*(1-D$7)-D$9)</f>
        <v/>
      </c>
      <c r="J53" s="6">
        <f>I53-SUM(D$10:D$14)</f>
        <v/>
      </c>
    </row>
    <row r="54">
      <c r="A54" t="inlineStr">
        <is>
          <t>duben</t>
        </is>
      </c>
      <c r="B54" s="6">
        <f>B$4*$B21*$C21*B$5*B$6</f>
        <v/>
      </c>
      <c r="C54" s="6">
        <f>B54*(B$8*(1-B$7)-B$9)</f>
        <v/>
      </c>
      <c r="D54" s="6">
        <f>C54-SUM(B$10:B$14)</f>
        <v/>
      </c>
      <c r="E54" s="6">
        <f>C$4*$B21*$C21*C$5*C$6</f>
        <v/>
      </c>
      <c r="F54" s="6">
        <f>E54*(C$8*(1-C$7)-C$9)</f>
        <v/>
      </c>
      <c r="G54" s="6">
        <f>F54-SUM(C$10:C$14)</f>
        <v/>
      </c>
      <c r="H54" s="6">
        <f>D$4*$B21*$C21*D$5*D$6</f>
        <v/>
      </c>
      <c r="I54" s="6">
        <f>H54*(D$8*(1-D$7)-D$9)</f>
        <v/>
      </c>
      <c r="J54" s="6">
        <f>I54-SUM(D$10:D$14)</f>
        <v/>
      </c>
    </row>
    <row r="55">
      <c r="A55" t="inlineStr">
        <is>
          <t>květen</t>
        </is>
      </c>
      <c r="B55" s="6">
        <f>B$4*$B22*$C22*B$5*B$6</f>
        <v/>
      </c>
      <c r="C55" s="6">
        <f>B55*(B$8*(1-B$7)-B$9)</f>
        <v/>
      </c>
      <c r="D55" s="6">
        <f>C55-SUM(B$10:B$14)</f>
        <v/>
      </c>
      <c r="E55" s="6">
        <f>C$4*$B22*$C22*C$5*C$6</f>
        <v/>
      </c>
      <c r="F55" s="6">
        <f>E55*(C$8*(1-C$7)-C$9)</f>
        <v/>
      </c>
      <c r="G55" s="6">
        <f>F55-SUM(C$10:C$14)</f>
        <v/>
      </c>
      <c r="H55" s="6">
        <f>D$4*$B22*$C22*D$5*D$6</f>
        <v/>
      </c>
      <c r="I55" s="6">
        <f>H55*(D$8*(1-D$7)-D$9)</f>
        <v/>
      </c>
      <c r="J55" s="6">
        <f>I55-SUM(D$10:D$14)</f>
        <v/>
      </c>
    </row>
    <row r="56">
      <c r="A56" t="inlineStr">
        <is>
          <t>červen</t>
        </is>
      </c>
      <c r="B56" s="6">
        <f>B$4*$B23*$C23*B$5*B$6</f>
        <v/>
      </c>
      <c r="C56" s="6">
        <f>B56*(B$8*(1-B$7)-B$9)</f>
        <v/>
      </c>
      <c r="D56" s="6">
        <f>C56-SUM(B$10:B$14)</f>
        <v/>
      </c>
      <c r="E56" s="6">
        <f>C$4*$B23*$C23*C$5*C$6</f>
        <v/>
      </c>
      <c r="F56" s="6">
        <f>E56*(C$8*(1-C$7)-C$9)</f>
        <v/>
      </c>
      <c r="G56" s="6">
        <f>F56-SUM(C$10:C$14)</f>
        <v/>
      </c>
      <c r="H56" s="6">
        <f>D$4*$B23*$C23*D$5*D$6</f>
        <v/>
      </c>
      <c r="I56" s="6">
        <f>H56*(D$8*(1-D$7)-D$9)</f>
        <v/>
      </c>
      <c r="J56" s="6">
        <f>I56-SUM(D$10:D$14)</f>
        <v/>
      </c>
    </row>
    <row r="57">
      <c r="A57" t="inlineStr">
        <is>
          <t>červenec</t>
        </is>
      </c>
      <c r="B57" s="6">
        <f>B$4*$B24*$C24*B$5*B$6</f>
        <v/>
      </c>
      <c r="C57" s="6">
        <f>B57*(B$8*(1-B$7)-B$9)</f>
        <v/>
      </c>
      <c r="D57" s="6">
        <f>C57-SUM(B$10:B$14)</f>
        <v/>
      </c>
      <c r="E57" s="6">
        <f>C$4*$B24*$C24*C$5*C$6</f>
        <v/>
      </c>
      <c r="F57" s="6">
        <f>E57*(C$8*(1-C$7)-C$9)</f>
        <v/>
      </c>
      <c r="G57" s="6">
        <f>F57-SUM(C$10:C$14)</f>
        <v/>
      </c>
      <c r="H57" s="6">
        <f>D$4*$B24*$C24*D$5*D$6</f>
        <v/>
      </c>
      <c r="I57" s="6">
        <f>H57*(D$8*(1-D$7)-D$9)</f>
        <v/>
      </c>
      <c r="J57" s="6">
        <f>I57-SUM(D$10:D$14)</f>
        <v/>
      </c>
    </row>
    <row r="58">
      <c r="A58" t="inlineStr">
        <is>
          <t>srpen</t>
        </is>
      </c>
      <c r="B58" s="6">
        <f>B$4*$B25*$C25*B$5*B$6</f>
        <v/>
      </c>
      <c r="C58" s="6">
        <f>B58*(B$8*(1-B$7)-B$9)</f>
        <v/>
      </c>
      <c r="D58" s="6">
        <f>C58-SUM(B$10:B$14)</f>
        <v/>
      </c>
      <c r="E58" s="6">
        <f>C$4*$B25*$C25*C$5*C$6</f>
        <v/>
      </c>
      <c r="F58" s="6">
        <f>E58*(C$8*(1-C$7)-C$9)</f>
        <v/>
      </c>
      <c r="G58" s="6">
        <f>F58-SUM(C$10:C$14)</f>
        <v/>
      </c>
      <c r="H58" s="6">
        <f>D$4*$B25*$C25*D$5*D$6</f>
        <v/>
      </c>
      <c r="I58" s="6">
        <f>H58*(D$8*(1-D$7)-D$9)</f>
        <v/>
      </c>
      <c r="J58" s="6">
        <f>I58-SUM(D$10:D$14)</f>
        <v/>
      </c>
    </row>
    <row r="59">
      <c r="A59" t="inlineStr">
        <is>
          <t>září</t>
        </is>
      </c>
      <c r="B59" s="6">
        <f>B$4*$B26*$C26*B$5*B$6</f>
        <v/>
      </c>
      <c r="C59" s="6">
        <f>B59*(B$8*(1-B$7)-B$9)</f>
        <v/>
      </c>
      <c r="D59" s="6">
        <f>C59-SUM(B$10:B$14)</f>
        <v/>
      </c>
      <c r="E59" s="6">
        <f>C$4*$B26*$C26*C$5*C$6</f>
        <v/>
      </c>
      <c r="F59" s="6">
        <f>E59*(C$8*(1-C$7)-C$9)</f>
        <v/>
      </c>
      <c r="G59" s="6">
        <f>F59-SUM(C$10:C$14)</f>
        <v/>
      </c>
      <c r="H59" s="6">
        <f>D$4*$B26*$C26*D$5*D$6</f>
        <v/>
      </c>
      <c r="I59" s="6">
        <f>H59*(D$8*(1-D$7)-D$9)</f>
        <v/>
      </c>
      <c r="J59" s="6">
        <f>I59-SUM(D$10:D$14)</f>
        <v/>
      </c>
    </row>
    <row r="60">
      <c r="A60" t="inlineStr">
        <is>
          <t>říjen</t>
        </is>
      </c>
      <c r="B60" s="6">
        <f>B$4*$B27*$C27*B$5*B$6</f>
        <v/>
      </c>
      <c r="C60" s="6">
        <f>B60*(B$8*(1-B$7)-B$9)</f>
        <v/>
      </c>
      <c r="D60" s="6">
        <f>C60-SUM(B$10:B$14)</f>
        <v/>
      </c>
      <c r="E60" s="6">
        <f>C$4*$B27*$C27*C$5*C$6</f>
        <v/>
      </c>
      <c r="F60" s="6">
        <f>E60*(C$8*(1-C$7)-C$9)</f>
        <v/>
      </c>
      <c r="G60" s="6">
        <f>F60-SUM(C$10:C$14)</f>
        <v/>
      </c>
      <c r="H60" s="6">
        <f>D$4*$B27*$C27*D$5*D$6</f>
        <v/>
      </c>
      <c r="I60" s="6">
        <f>H60*(D$8*(1-D$7)-D$9)</f>
        <v/>
      </c>
      <c r="J60" s="6">
        <f>I60-SUM(D$10:D$14)</f>
        <v/>
      </c>
    </row>
    <row r="61">
      <c r="A61" t="inlineStr">
        <is>
          <t>listopad</t>
        </is>
      </c>
      <c r="B61" s="6">
        <f>B$4*$B28*$C28*B$5*B$6</f>
        <v/>
      </c>
      <c r="C61" s="6">
        <f>B61*(B$8*(1-B$7)-B$9)</f>
        <v/>
      </c>
      <c r="D61" s="6">
        <f>C61-SUM(B$10:B$14)</f>
        <v/>
      </c>
      <c r="E61" s="6">
        <f>C$4*$B28*$C28*C$5*C$6</f>
        <v/>
      </c>
      <c r="F61" s="6">
        <f>E61*(C$8*(1-C$7)-C$9)</f>
        <v/>
      </c>
      <c r="G61" s="6">
        <f>F61-SUM(C$10:C$14)</f>
        <v/>
      </c>
      <c r="H61" s="6">
        <f>D$4*$B28*$C28*D$5*D$6</f>
        <v/>
      </c>
      <c r="I61" s="6">
        <f>H61*(D$8*(1-D$7)-D$9)</f>
        <v/>
      </c>
      <c r="J61" s="6">
        <f>I61-SUM(D$10:D$14)</f>
        <v/>
      </c>
    </row>
    <row r="62">
      <c r="A62" t="inlineStr">
        <is>
          <t>prosinec</t>
        </is>
      </c>
      <c r="B62" s="6">
        <f>B$4*$B29*$C29*B$5*B$6</f>
        <v/>
      </c>
      <c r="C62" s="6">
        <f>B62*(B$8*(1-B$7)-B$9)</f>
        <v/>
      </c>
      <c r="D62" s="6">
        <f>C62-SUM(B$10:B$14)</f>
        <v/>
      </c>
      <c r="E62" s="6">
        <f>C$4*$B29*$C29*C$5*C$6</f>
        <v/>
      </c>
      <c r="F62" s="6">
        <f>E62*(C$8*(1-C$7)-C$9)</f>
        <v/>
      </c>
      <c r="G62" s="6">
        <f>F62-SUM(C$10:C$14)</f>
        <v/>
      </c>
      <c r="H62" s="6">
        <f>D$4*$B29*$C29*D$5*D$6</f>
        <v/>
      </c>
      <c r="I62" s="6">
        <f>H62*(D$8*(1-D$7)-D$9)</f>
        <v/>
      </c>
      <c r="J62" s="6">
        <f>I62-SUM(D$10:D$14)</f>
        <v/>
      </c>
    </row>
    <row r="63">
      <c r="A63" s="1" t="inlineStr">
        <is>
          <t>Celkem rok 1</t>
        </is>
      </c>
      <c r="B63" s="7">
        <f>SUM(B51:B62)</f>
        <v/>
      </c>
      <c r="C63" s="7">
        <f>SUM(C51:C62)</f>
        <v/>
      </c>
      <c r="D63" s="7">
        <f>SUM(D51:D62)</f>
        <v/>
      </c>
      <c r="E63" s="7">
        <f>SUM(E51:E62)</f>
        <v/>
      </c>
      <c r="F63" s="7">
        <f>SUM(F51:F62)</f>
        <v/>
      </c>
      <c r="G63" s="7">
        <f>SUM(G51:G62)</f>
        <v/>
      </c>
      <c r="H63" s="7">
        <f>SUM(H51:H62)</f>
        <v/>
      </c>
      <c r="I63" s="7">
        <f>SUM(I51:I62)</f>
        <v/>
      </c>
      <c r="J63" s="7">
        <f>SUM(J51:J62)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0" customWidth="1" min="3" max="3"/>
    <col width="22" customWidth="1" min="4" max="4"/>
    <col width="45" customWidth="1" min="5" max="5"/>
  </cols>
  <sheetData>
    <row r="1">
      <c r="A1" t="inlineStr">
        <is>
          <t>Sekce</t>
        </is>
      </c>
      <c r="B1" t="inlineStr">
        <is>
          <t>Položka</t>
        </is>
      </c>
      <c r="C1" t="inlineStr">
        <is>
          <t>Cena Kč</t>
        </is>
      </c>
      <c r="D1" t="inlineStr">
        <is>
          <t>Prodej Solnice ks/měs</t>
        </is>
      </c>
      <c r="E1" t="inlineStr">
        <is>
          <t>Poznámka</t>
        </is>
      </c>
    </row>
    <row r="2">
      <c r="A2" t="inlineStr">
        <is>
          <t>Baterie</t>
        </is>
      </c>
      <c r="B2" t="inlineStr">
        <is>
          <t>AA alkalická po kuse (Panasonic)</t>
        </is>
      </c>
      <c r="C2" t="n">
        <v>8</v>
      </c>
      <c r="D2" t="n">
        <v>46</v>
      </c>
    </row>
    <row r="3">
      <c r="A3" t="inlineStr">
        <is>
          <t>Baterie</t>
        </is>
      </c>
      <c r="B3" t="inlineStr">
        <is>
          <t>AA alkalická 10 ks (GETI)</t>
        </is>
      </c>
      <c r="C3" t="n">
        <v>120</v>
      </c>
      <c r="D3" t="n">
        <v>73</v>
      </c>
    </row>
    <row r="4">
      <c r="A4" t="inlineStr">
        <is>
          <t>Baterie</t>
        </is>
      </c>
      <c r="B4" t="inlineStr">
        <is>
          <t>AAA alkalická po kuse</t>
        </is>
      </c>
      <c r="C4" t="n">
        <v>25</v>
      </c>
      <c r="D4" t="n">
        <v>43</v>
      </c>
    </row>
    <row r="5">
      <c r="A5" t="inlineStr">
        <is>
          <t>Baterie</t>
        </is>
      </c>
      <c r="B5" t="inlineStr">
        <is>
          <t>AAA alkalická 10 ks</t>
        </is>
      </c>
      <c r="C5" t="n">
        <v>120</v>
      </c>
      <c r="D5" t="n">
        <v>41</v>
      </c>
    </row>
    <row r="6">
      <c r="A6" t="inlineStr">
        <is>
          <t>Baterie</t>
        </is>
      </c>
      <c r="B6" t="inlineStr">
        <is>
          <t>CR2032 knoflíková</t>
        </is>
      </c>
      <c r="C6" t="n">
        <v>45</v>
      </c>
      <c r="D6" t="n">
        <v>38</v>
      </c>
    </row>
    <row r="7">
      <c r="A7" t="inlineStr">
        <is>
          <t>Baterie</t>
        </is>
      </c>
      <c r="B7" t="inlineStr">
        <is>
          <t>CR2025 knoflíková</t>
        </is>
      </c>
      <c r="C7" t="n">
        <v>39</v>
      </c>
      <c r="D7" t="n">
        <v>6</v>
      </c>
    </row>
    <row r="8">
      <c r="A8" t="inlineStr">
        <is>
          <t>Baterie</t>
        </is>
      </c>
      <c r="B8" t="inlineStr">
        <is>
          <t>C / LR14 (2 ks)</t>
        </is>
      </c>
      <c r="C8" t="n">
        <v>39</v>
      </c>
      <c r="D8" t="n">
        <v>14</v>
      </c>
      <c r="E8" t="inlineStr">
        <is>
          <t>zinkové R14 + alkalické LR14</t>
        </is>
      </c>
    </row>
    <row r="9">
      <c r="A9" t="inlineStr">
        <is>
          <t>Baterie</t>
        </is>
      </c>
      <c r="B9" t="inlineStr">
        <is>
          <t>D / LR20 (2 ks)</t>
        </is>
      </c>
      <c r="C9" t="n">
        <v>60</v>
      </c>
      <c r="D9" t="inlineStr">
        <is>
          <t>doplnit</t>
        </is>
      </c>
      <c r="E9" t="inlineStr">
        <is>
          <t>svítilny, plynové kotle</t>
        </is>
      </c>
    </row>
    <row r="10">
      <c r="A10" t="inlineStr">
        <is>
          <t>Baterie</t>
        </is>
      </c>
      <c r="B10" t="inlineStr">
        <is>
          <t>9V blok 6LR61</t>
        </is>
      </c>
      <c r="C10" t="n">
        <v>60</v>
      </c>
      <c r="D10" t="inlineStr">
        <is>
          <t>doplnit</t>
        </is>
      </c>
      <c r="E10" t="inlineStr">
        <is>
          <t>kouřové hlásiče</t>
        </is>
      </c>
    </row>
    <row r="11">
      <c r="A11" t="inlineStr">
        <is>
          <t>Baterie</t>
        </is>
      </c>
      <c r="B11" t="inlineStr">
        <is>
          <t>A23 12V</t>
        </is>
      </c>
      <c r="C11" t="n">
        <v>39</v>
      </c>
      <c r="D11" t="n">
        <v>7</v>
      </c>
      <c r="E11" t="inlineStr">
        <is>
          <t>dálkové ovladače vrat</t>
        </is>
      </c>
    </row>
    <row r="12">
      <c r="A12" t="inlineStr">
        <is>
          <t>Baterie</t>
        </is>
      </c>
      <c r="B12" t="inlineStr">
        <is>
          <t>LR44 / A76</t>
        </is>
      </c>
      <c r="C12" t="n">
        <v>25</v>
      </c>
      <c r="D12" t="n">
        <v>6</v>
      </c>
    </row>
    <row r="13">
      <c r="A13" t="inlineStr">
        <is>
          <t>Baterie</t>
        </is>
      </c>
      <c r="B13" t="inlineStr">
        <is>
          <t>PR312 do naslouchátek</t>
        </is>
      </c>
      <c r="C13" t="n">
        <v>18</v>
      </c>
      <c r="D13" t="n">
        <v>6</v>
      </c>
    </row>
    <row r="14">
      <c r="A14" t="inlineStr">
        <is>
          <t>Baterie</t>
        </is>
      </c>
      <c r="B14" t="inlineStr">
        <is>
          <t>Lithium AA (2 ks)</t>
        </is>
      </c>
      <c r="C14" t="n">
        <v>74</v>
      </c>
      <c r="D14" t="n">
        <v>10</v>
      </c>
    </row>
    <row r="15">
      <c r="A15" t="inlineStr">
        <is>
          <t>Žárovky a svítidla</t>
        </is>
      </c>
      <c r="B15" t="inlineStr">
        <is>
          <t>LED E27 8–10 W teplá bílá</t>
        </is>
      </c>
      <c r="C15" t="n">
        <v>89</v>
      </c>
      <c r="D15" t="n">
        <v>8</v>
      </c>
      <c r="E15" t="inlineStr">
        <is>
          <t>nahrazuje 60 W</t>
        </is>
      </c>
    </row>
    <row r="16">
      <c r="A16" t="inlineStr">
        <is>
          <t>Žárovky a svítidla</t>
        </is>
      </c>
      <c r="B16" t="inlineStr">
        <is>
          <t>LED E27 13–15 W teplá bílá</t>
        </is>
      </c>
      <c r="C16" t="n">
        <v>119</v>
      </c>
      <c r="D16" t="inlineStr">
        <is>
          <t>doplnit</t>
        </is>
      </c>
      <c r="E16" t="inlineStr">
        <is>
          <t>nahrazuje 100 W</t>
        </is>
      </c>
    </row>
    <row r="17">
      <c r="A17" t="inlineStr">
        <is>
          <t>Žárovky a svítidla</t>
        </is>
      </c>
      <c r="B17" t="inlineStr">
        <is>
          <t>LED E14 svíčka 5–6 W</t>
        </is>
      </c>
      <c r="C17" t="n">
        <v>79</v>
      </c>
      <c r="D17" t="inlineStr">
        <is>
          <t>doplnit</t>
        </is>
      </c>
      <c r="E17" t="inlineStr">
        <is>
          <t>klasické E14 25/40 W se prodávají 10 ks/měs</t>
        </is>
      </c>
    </row>
    <row r="18">
      <c r="A18" t="inlineStr">
        <is>
          <t>Žárovky a svítidla</t>
        </is>
      </c>
      <c r="B18" t="inlineStr">
        <is>
          <t>Žárovka E27 40 W / 60 W (tes-lamp, klasik)</t>
        </is>
      </c>
      <c r="C18" t="n">
        <v>20</v>
      </c>
      <c r="D18" t="n">
        <v>21</v>
      </c>
      <c r="E18" t="inlineStr">
        <is>
          <t>dokud je dostupná</t>
        </is>
      </c>
    </row>
    <row r="19">
      <c r="A19" t="inlineStr">
        <is>
          <t>Žárovky a svítidla</t>
        </is>
      </c>
      <c r="B19" t="inlineStr">
        <is>
          <t>Žárovka E14 svíčka 25 W / 40 W</t>
        </is>
      </c>
      <c r="C19" t="n">
        <v>20</v>
      </c>
      <c r="D19" t="n">
        <v>10</v>
      </c>
    </row>
    <row r="20">
      <c r="A20" t="inlineStr">
        <is>
          <t>Žárovky a svítidla</t>
        </is>
      </c>
      <c r="B20" t="inlineStr">
        <is>
          <t>GU10 LED 5 W</t>
        </is>
      </c>
      <c r="C20" t="n">
        <v>69</v>
      </c>
      <c r="D20" t="n">
        <v>5</v>
      </c>
    </row>
    <row r="21">
      <c r="A21" t="inlineStr">
        <is>
          <t>Žárovky a svítidla</t>
        </is>
      </c>
      <c r="B21" t="inlineStr">
        <is>
          <t>G9 halogen / LED</t>
        </is>
      </c>
      <c r="C21" t="n">
        <v>39</v>
      </c>
      <c r="D21" t="n">
        <v>14</v>
      </c>
    </row>
    <row r="22">
      <c r="A22" t="inlineStr">
        <is>
          <t>Žárovky a svítidla</t>
        </is>
      </c>
      <c r="B22" t="inlineStr">
        <is>
          <t>Reflektor R50 E14 40 W</t>
        </is>
      </c>
      <c r="C22" t="n">
        <v>39</v>
      </c>
      <c r="D22" t="n">
        <v>3</v>
      </c>
    </row>
    <row r="23">
      <c r="A23" t="inlineStr">
        <is>
          <t>Žárovky a svítidla</t>
        </is>
      </c>
      <c r="B23" t="inlineStr">
        <is>
          <t>LED trubice 120 cm T8</t>
        </is>
      </c>
      <c r="C23" t="n">
        <v>149</v>
      </c>
      <c r="D23" t="inlineStr">
        <is>
          <t>doplnit</t>
        </is>
      </c>
      <c r="E23" t="inlineStr">
        <is>
          <t>garáže, dílny</t>
        </is>
      </c>
    </row>
    <row r="24">
      <c r="A24" t="inlineStr">
        <is>
          <t>Žárovky a svítidla</t>
        </is>
      </c>
      <c r="B24" t="inlineStr">
        <is>
          <t>Startér do zářivky S2/S10</t>
        </is>
      </c>
      <c r="C24" t="n">
        <v>15</v>
      </c>
      <c r="D24" t="inlineStr">
        <is>
          <t>doplnit</t>
        </is>
      </c>
    </row>
    <row r="25">
      <c r="A25" t="inlineStr">
        <is>
          <t>Žárovky a svítidla</t>
        </is>
      </c>
      <c r="B25" t="inlineStr">
        <is>
          <t>Svítilna / čelovka LED na AA/AAA</t>
        </is>
      </c>
      <c r="C25" t="n">
        <v>119</v>
      </c>
      <c r="D25" t="n">
        <v>5</v>
      </c>
    </row>
    <row r="26">
      <c r="A26" t="inlineStr">
        <is>
          <t>Elektroinstalace</t>
        </is>
      </c>
      <c r="B26" t="inlineStr">
        <is>
          <t>WAGO 221-412 (2×4 mm) s páčkou</t>
        </is>
      </c>
      <c r="C26" t="n">
        <v>13</v>
      </c>
      <c r="D26" t="n">
        <v>15</v>
      </c>
    </row>
    <row r="27">
      <c r="A27" t="inlineStr">
        <is>
          <t>Elektroinstalace</t>
        </is>
      </c>
      <c r="B27" t="inlineStr">
        <is>
          <t>WAGO 221-413 (3×4 mm) s páčkou</t>
        </is>
      </c>
      <c r="C27" t="n">
        <v>16</v>
      </c>
      <c r="D27" t="n">
        <v>30</v>
      </c>
      <c r="E27" t="inlineStr">
        <is>
          <t>nejprodávanější</t>
        </is>
      </c>
    </row>
    <row r="28">
      <c r="A28" t="inlineStr">
        <is>
          <t>Elektroinstalace</t>
        </is>
      </c>
      <c r="B28" t="inlineStr">
        <is>
          <t>WAGO 221-415 (5×4 mm) s páčkou</t>
        </is>
      </c>
      <c r="C28" t="n">
        <v>20</v>
      </c>
      <c r="D28" t="n">
        <v>5</v>
      </c>
    </row>
    <row r="29">
      <c r="A29" t="inlineStr">
        <is>
          <t>Elektroinstalace</t>
        </is>
      </c>
      <c r="B29" t="inlineStr">
        <is>
          <t>WAGO 2273-203 (3×2,5 mm)</t>
        </is>
      </c>
      <c r="C29" t="n">
        <v>6</v>
      </c>
      <c r="D29" t="n">
        <v>21</v>
      </c>
    </row>
    <row r="30">
      <c r="A30" t="inlineStr">
        <is>
          <t>Elektroinstalace</t>
        </is>
      </c>
      <c r="B30" t="inlineStr">
        <is>
          <t>WAGO 2273-204 (4×2,5 mm)</t>
        </is>
      </c>
      <c r="C30" t="n">
        <v>8</v>
      </c>
      <c r="D30" t="n">
        <v>20</v>
      </c>
    </row>
    <row r="31">
      <c r="A31" t="inlineStr">
        <is>
          <t>Elektroinstalace</t>
        </is>
      </c>
      <c r="B31" t="inlineStr">
        <is>
          <t>Pojistky přístrojové 5×20 mm – sada hodnot</t>
        </is>
      </c>
      <c r="C31" t="n">
        <v>9</v>
      </c>
      <c r="D31" t="n">
        <v>17</v>
      </c>
      <c r="E31" t="inlineStr">
        <is>
          <t>prodávat v sadě 10 ks</t>
        </is>
      </c>
    </row>
    <row r="32">
      <c r="A32" t="inlineStr">
        <is>
          <t>Elektroinstalace</t>
        </is>
      </c>
      <c r="B32" t="inlineStr">
        <is>
          <t>Pojistka 16 A válcová</t>
        </is>
      </c>
      <c r="C32" t="n">
        <v>25</v>
      </c>
      <c r="D32" t="n">
        <v>6</v>
      </c>
    </row>
    <row r="33">
      <c r="A33" t="inlineStr">
        <is>
          <t>Elektroinstalace</t>
        </is>
      </c>
      <c r="B33" t="inlineStr">
        <is>
          <t>Vidlice úhlová bílá</t>
        </is>
      </c>
      <c r="C33" t="n">
        <v>53</v>
      </c>
      <c r="D33" t="n">
        <v>7</v>
      </c>
    </row>
    <row r="34">
      <c r="A34" t="inlineStr">
        <is>
          <t>Elektroinstalace</t>
        </is>
      </c>
      <c r="B34" t="inlineStr">
        <is>
          <t>Vidlice gumová IP44 černá</t>
        </is>
      </c>
      <c r="C34" t="n">
        <v>109</v>
      </c>
      <c r="D34" t="n">
        <v>6</v>
      </c>
    </row>
    <row r="35">
      <c r="A35" t="inlineStr">
        <is>
          <t>Elektroinstalace</t>
        </is>
      </c>
      <c r="B35" t="inlineStr">
        <is>
          <t>Zásuvka pohyblivá (na kabel) bílá / gumová</t>
        </is>
      </c>
      <c r="C35" t="n">
        <v>60</v>
      </c>
      <c r="D35" t="inlineStr">
        <is>
          <t>doplnit</t>
        </is>
      </c>
    </row>
    <row r="36">
      <c r="A36" t="inlineStr">
        <is>
          <t>Elektroinstalace</t>
        </is>
      </c>
      <c r="B36" t="inlineStr">
        <is>
          <t>Prodlužovací kabel 3 zásuvky, 3 m a 5 m</t>
        </is>
      </c>
      <c r="C36" t="n">
        <v>199</v>
      </c>
      <c r="D36" t="inlineStr">
        <is>
          <t>doplnit</t>
        </is>
      </c>
      <c r="E36" t="inlineStr">
        <is>
          <t>nejčastější nouzový nákup elektro</t>
        </is>
      </c>
    </row>
    <row r="37">
      <c r="A37" t="inlineStr">
        <is>
          <t>Elektroinstalace</t>
        </is>
      </c>
      <c r="B37" t="inlineStr">
        <is>
          <t>Prodlužovací kabel 1 zásuvka 10 m (zahradní)</t>
        </is>
      </c>
      <c r="C37" t="n">
        <v>299</v>
      </c>
      <c r="D37" t="inlineStr">
        <is>
          <t>doplnit</t>
        </is>
      </c>
    </row>
    <row r="38">
      <c r="A38" t="inlineStr">
        <is>
          <t>Elektroinstalace</t>
        </is>
      </c>
      <c r="B38" t="inlineStr">
        <is>
          <t>Spínač jednopólový + zásuvka nástěnná (Tango/Classic)</t>
        </is>
      </c>
      <c r="C38" t="n">
        <v>91</v>
      </c>
      <c r="D38" t="n">
        <v>4</v>
      </c>
    </row>
    <row r="39">
      <c r="A39" t="inlineStr">
        <is>
          <t>Elektroinstalace</t>
        </is>
      </c>
      <c r="B39" t="inlineStr">
        <is>
          <t>Instalační krabice KU 68 (do zdi) a do SDK</t>
        </is>
      </c>
      <c r="C39" t="n">
        <v>8</v>
      </c>
      <c r="D39" t="n">
        <v>15</v>
      </c>
    </row>
    <row r="40">
      <c r="A40" t="inlineStr">
        <is>
          <t>Elektroinstalace</t>
        </is>
      </c>
      <c r="B40" t="inlineStr">
        <is>
          <t>Svorkovnice 12pól. 2,5 mm</t>
        </is>
      </c>
      <c r="C40" t="n">
        <v>25</v>
      </c>
      <c r="D40" t="inlineStr">
        <is>
          <t>doplnit</t>
        </is>
      </c>
    </row>
    <row r="41">
      <c r="A41" t="inlineStr">
        <is>
          <t>Elektroinstalace</t>
        </is>
      </c>
      <c r="B41" t="inlineStr">
        <is>
          <t>Husí krk 16 / 23 mm (návin 5 m)</t>
        </is>
      </c>
      <c r="C41" t="n">
        <v>80</v>
      </c>
      <c r="D41" t="n">
        <v>26</v>
      </c>
      <c r="E41" t="inlineStr">
        <is>
          <t>v datech na metry</t>
        </is>
      </c>
    </row>
    <row r="42">
      <c r="A42" t="inlineStr">
        <is>
          <t>Elektroinstalace</t>
        </is>
      </c>
      <c r="B42" t="inlineStr">
        <is>
          <t>Lišta vkládací 17×17 mm 2 m</t>
        </is>
      </c>
      <c r="C42" t="n">
        <v>66</v>
      </c>
      <c r="D42" t="n">
        <v>5</v>
      </c>
    </row>
    <row r="43">
      <c r="A43" t="inlineStr">
        <is>
          <t>Elektroinstalace</t>
        </is>
      </c>
      <c r="B43" t="inlineStr">
        <is>
          <t>Faston zdířky 6,3 mm (sáček 20 ks)</t>
        </is>
      </c>
      <c r="C43" t="n">
        <v>30</v>
      </c>
      <c r="D43" t="n">
        <v>14</v>
      </c>
    </row>
    <row r="44">
      <c r="A44" t="inlineStr">
        <is>
          <t>Elektroinstalace</t>
        </is>
      </c>
      <c r="B44" t="inlineStr">
        <is>
          <t>Zvonek bezdrátový / bateriový tlačítko</t>
        </is>
      </c>
      <c r="C44" t="n">
        <v>249</v>
      </c>
      <c r="D44" t="inlineStr">
        <is>
          <t>doplnit</t>
        </is>
      </c>
    </row>
    <row r="45">
      <c r="A45" t="inlineStr">
        <is>
          <t>Kabely (předbalené náviny)</t>
        </is>
      </c>
      <c r="B45" t="inlineStr">
        <is>
          <t>CYSY 3G×1,5 návin 5 m a 10 m</t>
        </is>
      </c>
      <c r="C45" t="n">
        <v>160</v>
      </c>
      <c r="D45" t="n">
        <v>72</v>
      </c>
      <c r="E45" t="inlineStr">
        <is>
          <t>v datech 72 m/měs po metrech</t>
        </is>
      </c>
    </row>
    <row r="46">
      <c r="A46" t="inlineStr">
        <is>
          <t>Kabely (předbalené náviny)</t>
        </is>
      </c>
      <c r="B46" t="inlineStr">
        <is>
          <t>CYKY 3×2,5 návin 10 m</t>
        </is>
      </c>
      <c r="C46" t="n">
        <v>380</v>
      </c>
      <c r="D46" t="n">
        <v>49</v>
      </c>
    </row>
    <row r="47">
      <c r="A47" t="inlineStr">
        <is>
          <t>Kabely (předbalené náviny)</t>
        </is>
      </c>
      <c r="B47" t="inlineStr">
        <is>
          <t>CYKY 3×1,5 návin 10 m</t>
        </is>
      </c>
      <c r="C47" t="n">
        <v>280</v>
      </c>
      <c r="D47" t="n">
        <v>30</v>
      </c>
    </row>
    <row r="48">
      <c r="A48" t="inlineStr">
        <is>
          <t>Kabely (předbalené náviny)</t>
        </is>
      </c>
      <c r="B48" t="inlineStr">
        <is>
          <t>CYSY 2×1 návin 5 m</t>
        </is>
      </c>
      <c r="C48" t="n">
        <v>85</v>
      </c>
      <c r="D48" t="n">
        <v>33</v>
      </c>
    </row>
    <row r="49">
      <c r="A49" t="inlineStr">
        <is>
          <t>Kabely (předbalené náviny)</t>
        </is>
      </c>
      <c r="B49" t="inlineStr">
        <is>
          <t>CYSY 3G×1 návin 5 m</t>
        </is>
      </c>
      <c r="C49" t="n">
        <v>105</v>
      </c>
      <c r="D49" t="n">
        <v>12</v>
      </c>
    </row>
    <row r="50">
      <c r="A50" t="inlineStr">
        <is>
          <t>Kabely (předbalené náviny)</t>
        </is>
      </c>
      <c r="B50" t="inlineStr">
        <is>
          <t>Dvojlinka 2×0,75 návin 20 m</t>
        </is>
      </c>
      <c r="C50" t="n">
        <v>60</v>
      </c>
      <c r="D50" t="n">
        <v>22</v>
      </c>
    </row>
    <row r="51">
      <c r="A51" t="inlineStr">
        <is>
          <t>Pásky</t>
        </is>
      </c>
      <c r="B51" t="inlineStr">
        <is>
          <t>Maskovací páska TX 25 mm 50 m</t>
        </is>
      </c>
      <c r="C51" t="n">
        <v>59</v>
      </c>
      <c r="D51" t="n">
        <v>72</v>
      </c>
      <c r="E51" t="inlineStr">
        <is>
          <t>marže 144 %</t>
        </is>
      </c>
    </row>
    <row r="52">
      <c r="A52" t="inlineStr">
        <is>
          <t>Pásky</t>
        </is>
      </c>
      <c r="B52" t="inlineStr">
        <is>
          <t>Maskovací páska TX 30 / 38 / 48 mm</t>
        </is>
      </c>
      <c r="C52" t="n">
        <v>50</v>
      </c>
      <c r="D52" t="n">
        <v>25</v>
      </c>
    </row>
    <row r="53">
      <c r="A53" t="inlineStr">
        <is>
          <t>Pásky</t>
        </is>
      </c>
      <c r="B53" t="inlineStr">
        <is>
          <t>Krepová páska 50 mm 50 m (60 °C)</t>
        </is>
      </c>
      <c r="C53" t="n">
        <v>76</v>
      </c>
      <c r="D53" t="n">
        <v>7</v>
      </c>
    </row>
    <row r="54">
      <c r="A54" t="inlineStr">
        <is>
          <t>Pásky</t>
        </is>
      </c>
      <c r="B54" t="inlineStr">
        <is>
          <t>Izolační páska 15 mm černá + sada barev</t>
        </is>
      </c>
      <c r="C54" t="n">
        <v>12</v>
      </c>
      <c r="D54" t="n">
        <v>14</v>
      </c>
    </row>
    <row r="55">
      <c r="A55" t="inlineStr">
        <is>
          <t>Pásky</t>
        </is>
      </c>
      <c r="B55" t="inlineStr">
        <is>
          <t>Izolační páska 25 mm</t>
        </is>
      </c>
      <c r="C55" t="n">
        <v>22</v>
      </c>
      <c r="D55" t="n">
        <v>6</v>
      </c>
    </row>
    <row r="56">
      <c r="A56" t="inlineStr">
        <is>
          <t>Pásky</t>
        </is>
      </c>
      <c r="B56" t="inlineStr">
        <is>
          <t>Teflonová páska 12 mm</t>
        </is>
      </c>
      <c r="C56" t="n">
        <v>22</v>
      </c>
      <c r="D56" t="n">
        <v>6</v>
      </c>
    </row>
    <row r="57">
      <c r="A57" t="inlineStr">
        <is>
          <t>Pásky</t>
        </is>
      </c>
      <c r="B57" t="inlineStr">
        <is>
          <t>Balicí páska 48 mm 66 m</t>
        </is>
      </c>
      <c r="C57" t="n">
        <v>55</v>
      </c>
      <c r="D57" t="n">
        <v>6</v>
      </c>
    </row>
    <row r="58">
      <c r="A58" t="inlineStr">
        <is>
          <t>Pásky</t>
        </is>
      </c>
      <c r="B58" t="inlineStr">
        <is>
          <t>Univerzální textilní (duct) páska 50 mm</t>
        </is>
      </c>
      <c r="C58" t="n">
        <v>145</v>
      </c>
      <c r="D58" t="n">
        <v>5</v>
      </c>
    </row>
    <row r="59">
      <c r="A59" t="inlineStr">
        <is>
          <t>Pásky</t>
        </is>
      </c>
      <c r="B59" t="inlineStr">
        <is>
          <t>Oboustranná montážní páska</t>
        </is>
      </c>
      <c r="C59" t="n">
        <v>89</v>
      </c>
      <c r="D59" t="inlineStr">
        <is>
          <t>doplnit</t>
        </is>
      </c>
    </row>
    <row r="60">
      <c r="A60" t="inlineStr">
        <is>
          <t>Pásky</t>
        </is>
      </c>
      <c r="B60" t="inlineStr">
        <is>
          <t>Stahovací pásky 200 mm a 300 mm (50 ks)</t>
        </is>
      </c>
      <c r="C60" t="n">
        <v>50</v>
      </c>
      <c r="D60" t="n">
        <v>8</v>
      </c>
    </row>
    <row r="61">
      <c r="A61" t="inlineStr">
        <is>
          <t>Lepidla, tmely, pěny</t>
        </is>
      </c>
      <c r="B61" t="inlineStr">
        <is>
          <t>Mamut Glue High tack 290 ml bílý</t>
        </is>
      </c>
      <c r="C61" t="n">
        <v>199</v>
      </c>
      <c r="D61" t="n">
        <v>26</v>
      </c>
      <c r="E61" t="inlineStr">
        <is>
          <t>nosná položka</t>
        </is>
      </c>
    </row>
    <row r="62">
      <c r="A62" t="inlineStr">
        <is>
          <t>Lepidla, tmely, pěny</t>
        </is>
      </c>
      <c r="B62" t="inlineStr">
        <is>
          <t>Mamut Glue Crystal transparent 290 ml</t>
        </is>
      </c>
      <c r="C62" t="n">
        <v>235</v>
      </c>
      <c r="D62" t="n">
        <v>4</v>
      </c>
    </row>
    <row r="63">
      <c r="A63" t="inlineStr">
        <is>
          <t>Lepidla, tmely, pěny</t>
        </is>
      </c>
      <c r="B63" t="inlineStr">
        <is>
          <t>Mamut Glue 25 ml (tuba)</t>
        </is>
      </c>
      <c r="C63" t="n">
        <v>75</v>
      </c>
      <c r="D63" t="n">
        <v>5</v>
      </c>
    </row>
    <row r="64">
      <c r="A64" t="inlineStr">
        <is>
          <t>Lepidla, tmely, pěny</t>
        </is>
      </c>
      <c r="B64" t="inlineStr">
        <is>
          <t>Sekundové lepidlo 3 g (Loctite)</t>
        </is>
      </c>
      <c r="C64" t="n">
        <v>53</v>
      </c>
      <c r="D64" t="n">
        <v>3</v>
      </c>
    </row>
    <row r="65">
      <c r="A65" t="inlineStr">
        <is>
          <t>Lepidla, tmely, pěny</t>
        </is>
      </c>
      <c r="B65" t="inlineStr">
        <is>
          <t>Herkules / Chemoprén univerzál 50–120 g</t>
        </is>
      </c>
      <c r="C65" t="n">
        <v>60</v>
      </c>
      <c r="D65" t="inlineStr">
        <is>
          <t>doplnit</t>
        </is>
      </c>
    </row>
    <row r="66">
      <c r="A66" t="inlineStr">
        <is>
          <t>Lepidla, tmely, pěny</t>
        </is>
      </c>
      <c r="B66" t="inlineStr">
        <is>
          <t>Sanitární silikon 280 ml bílý a transparent</t>
        </is>
      </c>
      <c r="C66" t="n">
        <v>155</v>
      </c>
      <c r="D66" t="n">
        <v>13</v>
      </c>
    </row>
    <row r="67">
      <c r="A67" t="inlineStr">
        <is>
          <t>Lepidla, tmely, pěny</t>
        </is>
      </c>
      <c r="B67" t="inlineStr">
        <is>
          <t>Akryl bílý 310 ml</t>
        </is>
      </c>
      <c r="C67" t="n">
        <v>95</v>
      </c>
      <c r="D67" t="n">
        <v>5</v>
      </c>
    </row>
    <row r="68">
      <c r="A68" t="inlineStr">
        <is>
          <t>Lepidla, tmely, pěny</t>
        </is>
      </c>
      <c r="B68" t="inlineStr">
        <is>
          <t>Montážní pěna trubičková 750 ml</t>
        </is>
      </c>
      <c r="C68" t="n">
        <v>169</v>
      </c>
      <c r="D68" t="n">
        <v>4</v>
      </c>
    </row>
    <row r="69">
      <c r="A69" t="inlineStr">
        <is>
          <t>Lepidla, tmely, pěny</t>
        </is>
      </c>
      <c r="B69" t="inlineStr">
        <is>
          <t>Pěna 500 ml s aplikátorem (Pattex Control)</t>
        </is>
      </c>
      <c r="C69" t="n">
        <v>169</v>
      </c>
      <c r="D69" t="n">
        <v>6</v>
      </c>
    </row>
    <row r="70">
      <c r="A70" t="inlineStr">
        <is>
          <t>Lepidla, tmely, pěny</t>
        </is>
      </c>
      <c r="B70" t="inlineStr">
        <is>
          <t>Pistole na kartuše</t>
        </is>
      </c>
      <c r="C70" t="n">
        <v>99</v>
      </c>
      <c r="D70" t="inlineStr">
        <is>
          <t>doplnit</t>
        </is>
      </c>
      <c r="E70" t="inlineStr">
        <is>
          <t>bez ní se silikon neprodá</t>
        </is>
      </c>
    </row>
    <row r="71">
      <c r="A71" t="inlineStr">
        <is>
          <t>Lepidla, tmely, pěny</t>
        </is>
      </c>
      <c r="B71" t="inlineStr">
        <is>
          <t>Aplikační špičky na kartuše 5 ks</t>
        </is>
      </c>
      <c r="C71" t="n">
        <v>44</v>
      </c>
      <c r="D71" t="n">
        <v>4</v>
      </c>
    </row>
    <row r="72">
      <c r="A72" t="inlineStr">
        <is>
          <t>Lepidla, tmely, pěny</t>
        </is>
      </c>
      <c r="B72" t="inlineStr">
        <is>
          <t>Tmel na dřevo 250 g (smrk, dub)</t>
        </is>
      </c>
      <c r="C72" t="n">
        <v>62</v>
      </c>
      <c r="D72" t="n">
        <v>5</v>
      </c>
    </row>
    <row r="73">
      <c r="A73" t="inlineStr">
        <is>
          <t>Lepidla, tmely, pěny</t>
        </is>
      </c>
      <c r="B73" t="inlineStr">
        <is>
          <t>Sádra bílá 1 kg a 3 kg</t>
        </is>
      </c>
      <c r="C73" t="n">
        <v>45</v>
      </c>
      <c r="D73" t="n">
        <v>10</v>
      </c>
    </row>
    <row r="74">
      <c r="A74" t="inlineStr">
        <is>
          <t>Lepidla, tmely, pěny</t>
        </is>
      </c>
      <c r="B74" t="inlineStr">
        <is>
          <t>Univerzální štukový tmel 400 g (Uniflex)</t>
        </is>
      </c>
      <c r="C74" t="n">
        <v>65</v>
      </c>
      <c r="D74" t="n">
        <v>3</v>
      </c>
    </row>
    <row r="75">
      <c r="A75" t="inlineStr">
        <is>
          <t>Lepidla, tmely, pěny</t>
        </is>
      </c>
      <c r="B75" t="inlineStr">
        <is>
          <t>MAMUT GLUE MULTI 290 ml šedý</t>
        </is>
      </c>
      <c r="C75" t="n">
        <v>221</v>
      </c>
      <c r="D75" t="n">
        <v>4</v>
      </c>
    </row>
    <row r="76">
      <c r="A76" t="inlineStr">
        <is>
          <t>Lepidla, tmely, pěny</t>
        </is>
      </c>
      <c r="B76" t="inlineStr">
        <is>
          <t>MAMUT GLUE TOTAL 290 ml bílý</t>
        </is>
      </c>
      <c r="C76" t="n">
        <v>249</v>
      </c>
      <c r="D76" t="n">
        <v>4</v>
      </c>
    </row>
    <row r="77">
      <c r="A77" t="inlineStr">
        <is>
          <t>Lepidla, tmely, pěny</t>
        </is>
      </c>
      <c r="B77" t="inlineStr">
        <is>
          <t>MAMUT GLUE CRYSTAL 290 ml transparentní</t>
        </is>
      </c>
      <c r="C77" t="n">
        <v>235</v>
      </c>
      <c r="D77" t="n">
        <v>4</v>
      </c>
    </row>
    <row r="78">
      <c r="A78" t="inlineStr">
        <is>
          <t>Lepidla, tmely, pěny</t>
        </is>
      </c>
      <c r="B78" t="inlineStr">
        <is>
          <t>Akrylový tmel 310 ml bílý</t>
        </is>
      </c>
      <c r="C78" t="n">
        <v>73</v>
      </c>
      <c r="D78" t="n">
        <v>4</v>
      </c>
      <c r="E78" t="inlineStr">
        <is>
          <t>nejlevnější tmel do spár</t>
        </is>
      </c>
    </row>
    <row r="79">
      <c r="A79" t="inlineStr">
        <is>
          <t>Lepidla, tmely, pěny</t>
        </is>
      </c>
      <c r="B79" t="inlineStr">
        <is>
          <t>Akrylový štukový tmel 310 ml bílý</t>
        </is>
      </c>
      <c r="C79" t="n">
        <v>125</v>
      </c>
      <c r="D79" t="n">
        <v>4</v>
      </c>
    </row>
    <row r="80">
      <c r="A80" t="inlineStr">
        <is>
          <t>Lepidla, tmely, pěny</t>
        </is>
      </c>
      <c r="B80" t="inlineStr">
        <is>
          <t>Lehčený brousitelný tmel Qualy Fill 500 ml</t>
        </is>
      </c>
      <c r="C80" t="n">
        <v>149</v>
      </c>
      <c r="D80" t="n">
        <v>4</v>
      </c>
    </row>
    <row r="81">
      <c r="A81" t="inlineStr">
        <is>
          <t>Lepidla, tmely, pěny</t>
        </is>
      </c>
      <c r="B81" t="inlineStr">
        <is>
          <t>Lepidlo ve spreji butylové 400 ml</t>
        </is>
      </c>
      <c r="C81" t="n">
        <v>289</v>
      </c>
      <c r="D81" t="n">
        <v>4</v>
      </c>
    </row>
    <row r="82">
      <c r="A82" t="inlineStr">
        <is>
          <t>Lepidla, tmely, pěny</t>
        </is>
      </c>
      <c r="B82" t="inlineStr">
        <is>
          <t>Těsnicí guma K a D profil 9 mm × 6 m</t>
        </is>
      </c>
      <c r="C82" t="n">
        <v>95</v>
      </c>
      <c r="D82" t="n">
        <v>7</v>
      </c>
      <c r="E82" t="inlineStr">
        <is>
          <t>okna a dveře, podzim</t>
        </is>
      </c>
    </row>
    <row r="83">
      <c r="A83" t="inlineStr">
        <is>
          <t>Lepidla, tmely, pěny</t>
        </is>
      </c>
      <c r="B83" t="inlineStr">
        <is>
          <t>Zakrývací fólie stavební 4×5 m 40 µm</t>
        </is>
      </c>
      <c r="C83" t="n">
        <v>99</v>
      </c>
      <c r="D83" t="n">
        <v>4</v>
      </c>
      <c r="E83" t="inlineStr">
        <is>
          <t>silnější než malířská</t>
        </is>
      </c>
    </row>
    <row r="84">
      <c r="A84" t="inlineStr">
        <is>
          <t>Lepidla, tmely, pěny</t>
        </is>
      </c>
      <c r="B84" t="inlineStr">
        <is>
          <t>Stretch fólie ruční 50 cm</t>
        </is>
      </c>
      <c r="C84" t="n">
        <v>249</v>
      </c>
      <c r="D84" t="n">
        <v>5</v>
      </c>
      <c r="E84" t="inlineStr">
        <is>
          <t>marže 208 %</t>
        </is>
      </c>
    </row>
    <row r="85">
      <c r="A85" t="inlineStr">
        <is>
          <t>Malířské potřeby</t>
        </is>
      </c>
      <c r="B85" t="inlineStr">
        <is>
          <t>Zakrývací fólie 4×5 m</t>
        </is>
      </c>
      <c r="C85" t="n">
        <v>25</v>
      </c>
      <c r="D85" t="n">
        <v>63</v>
      </c>
      <c r="E85" t="inlineStr">
        <is>
          <t>nejprodávanější kus prodejny</t>
        </is>
      </c>
    </row>
    <row r="86">
      <c r="A86" t="inlineStr">
        <is>
          <t>Malířské potřeby</t>
        </is>
      </c>
      <c r="B86" t="inlineStr">
        <is>
          <t>Zakrývací plachta 4×12,5 m</t>
        </is>
      </c>
      <c r="C86" t="n">
        <v>55</v>
      </c>
      <c r="D86" t="n">
        <v>16</v>
      </c>
    </row>
    <row r="87">
      <c r="A87" t="inlineStr">
        <is>
          <t>Malířské potřeby</t>
        </is>
      </c>
      <c r="B87" t="inlineStr">
        <is>
          <t>Štětec plochý 40 / 50 / 70 mm</t>
        </is>
      </c>
      <c r="C87" t="n">
        <v>37</v>
      </c>
      <c r="D87" t="n">
        <v>26</v>
      </c>
    </row>
    <row r="88">
      <c r="A88" t="inlineStr">
        <is>
          <t>Malířské potřeby</t>
        </is>
      </c>
      <c r="B88" t="inlineStr">
        <is>
          <t>Váleček velvet 10 cm + držadlo</t>
        </is>
      </c>
      <c r="C88" t="n">
        <v>22</v>
      </c>
      <c r="D88" t="n">
        <v>10</v>
      </c>
    </row>
    <row r="89">
      <c r="A89" t="inlineStr">
        <is>
          <t>Malířské potřeby</t>
        </is>
      </c>
      <c r="B89" t="inlineStr">
        <is>
          <t>Váleček 18 / 25 cm + rukojeť</t>
        </is>
      </c>
      <c r="C89" t="n">
        <v>90</v>
      </c>
      <c r="D89" t="n">
        <v>9</v>
      </c>
    </row>
    <row r="90">
      <c r="A90" t="inlineStr">
        <is>
          <t>Malířské potřeby</t>
        </is>
      </c>
      <c r="B90" t="inlineStr">
        <is>
          <t>Malířská mřížka / vanička</t>
        </is>
      </c>
      <c r="C90" t="n">
        <v>39</v>
      </c>
      <c r="D90" t="inlineStr">
        <is>
          <t>doplnit</t>
        </is>
      </c>
    </row>
    <row r="91">
      <c r="A91" t="inlineStr">
        <is>
          <t>Malířské potřeby</t>
        </is>
      </c>
      <c r="B91" t="inlineStr">
        <is>
          <t>Brusné plátno 60 / 80 / 120</t>
        </is>
      </c>
      <c r="C91" t="n">
        <v>17</v>
      </c>
      <c r="D91" t="n">
        <v>35</v>
      </c>
    </row>
    <row r="92">
      <c r="A92" t="inlineStr">
        <is>
          <t>Malířské potřeby</t>
        </is>
      </c>
      <c r="B92" t="inlineStr">
        <is>
          <t>Brusný papír pod vodu 600 / 800</t>
        </is>
      </c>
      <c r="C92" t="n">
        <v>15</v>
      </c>
      <c r="D92" t="n">
        <v>20</v>
      </c>
    </row>
    <row r="93">
      <c r="A93" t="inlineStr">
        <is>
          <t>Malířské potřeby</t>
        </is>
      </c>
      <c r="B93" t="inlineStr">
        <is>
          <t>Špachtle 60 mm a 100 mm</t>
        </is>
      </c>
      <c r="C93" t="n">
        <v>39</v>
      </c>
      <c r="D93" t="inlineStr">
        <is>
          <t>doplnit</t>
        </is>
      </c>
    </row>
    <row r="94">
      <c r="A94" t="inlineStr">
        <is>
          <t>Malířské potřeby</t>
        </is>
      </c>
      <c r="B94" t="inlineStr">
        <is>
          <t>Míchací pohár 385 ml</t>
        </is>
      </c>
      <c r="C94" t="n">
        <v>21</v>
      </c>
      <c r="D94" t="n">
        <v>4</v>
      </c>
    </row>
    <row r="95">
      <c r="A95" t="inlineStr">
        <is>
          <t>Malířské potřeby</t>
        </is>
      </c>
      <c r="B95" t="inlineStr">
        <is>
          <t>Nopová fólie 0,5 m a 1 m × 20 m</t>
        </is>
      </c>
      <c r="C95" t="n">
        <v>38</v>
      </c>
      <c r="D95" t="n">
        <v>40</v>
      </c>
      <c r="E95" t="inlineStr">
        <is>
          <t>izolace základů, silný prodej</t>
        </is>
      </c>
    </row>
    <row r="96">
      <c r="A96" t="inlineStr">
        <is>
          <t>Barvy na zeď a nátěry</t>
        </is>
      </c>
      <c r="B96" t="inlineStr">
        <is>
          <t>Het Klasik otěruvzdorný 15+3 kg</t>
        </is>
      </c>
      <c r="C96" t="n">
        <v>799</v>
      </c>
      <c r="D96" t="n">
        <v>15</v>
      </c>
      <c r="E96" t="inlineStr">
        <is>
          <t>nejsilnější položka do 1 000 Kč</t>
        </is>
      </c>
    </row>
    <row r="97">
      <c r="A97" t="inlineStr">
        <is>
          <t>Barvy na zeď a nátěry</t>
        </is>
      </c>
      <c r="B97" t="inlineStr">
        <is>
          <t>Het Klasik otěruvzdorný 7+1 kg</t>
        </is>
      </c>
      <c r="C97" t="n">
        <v>459</v>
      </c>
      <c r="D97" t="n">
        <v>3</v>
      </c>
    </row>
    <row r="98">
      <c r="A98" t="inlineStr">
        <is>
          <t>Barvy na zeď a nátěry</t>
        </is>
      </c>
      <c r="B98" t="inlineStr">
        <is>
          <t>Het Klasik otěruvzdorný 4 kg</t>
        </is>
      </c>
      <c r="C98" t="n">
        <v>319</v>
      </c>
      <c r="D98" t="n">
        <v>2</v>
      </c>
    </row>
    <row r="99">
      <c r="A99" t="inlineStr">
        <is>
          <t>Barvy na zeď a nátěry</t>
        </is>
      </c>
      <c r="B99" t="inlineStr">
        <is>
          <t>Het Klasik 1,5 kg</t>
        </is>
      </c>
      <c r="C99" t="n">
        <v>150</v>
      </c>
      <c r="D99" t="n">
        <v>5</v>
      </c>
      <c r="E99" t="inlineStr">
        <is>
          <t>malá oprava, nejnižší cena</t>
        </is>
      </c>
    </row>
    <row r="100">
      <c r="A100" t="inlineStr">
        <is>
          <t>Barvy na zeď a nátěry</t>
        </is>
      </c>
      <c r="B100" t="inlineStr">
        <is>
          <t>Primalex Polar 15+3 kg</t>
        </is>
      </c>
      <c r="C100" t="n">
        <v>999</v>
      </c>
      <c r="D100" t="n">
        <v>3</v>
      </c>
    </row>
    <row r="101">
      <c r="A101" t="inlineStr">
        <is>
          <t>Barvy na zeď a nátěry</t>
        </is>
      </c>
      <c r="B101" t="inlineStr">
        <is>
          <t>Primalex Polar / Standard 7,5 kg</t>
        </is>
      </c>
      <c r="C101" t="n">
        <v>500</v>
      </c>
      <c r="D101" t="n">
        <v>2</v>
      </c>
    </row>
    <row r="102">
      <c r="A102" t="inlineStr">
        <is>
          <t>Barvy na zeď a nátěry</t>
        </is>
      </c>
      <c r="B102" t="inlineStr">
        <is>
          <t>Malířské vápno 11 kg / bílení 6 kg</t>
        </is>
      </c>
      <c r="C102" t="n">
        <v>250</v>
      </c>
      <c r="D102" t="n">
        <v>4</v>
      </c>
      <c r="E102" t="inlineStr">
        <is>
          <t>sklepy, hospodářské budovy</t>
        </is>
      </c>
    </row>
    <row r="103">
      <c r="A103" t="inlineStr">
        <is>
          <t>Barvy na zeď a nátěry</t>
        </is>
      </c>
      <c r="B103" t="inlineStr">
        <is>
          <t>Penetrace akrylátová 1 l</t>
        </is>
      </c>
      <c r="C103" t="n">
        <v>69</v>
      </c>
      <c r="D103" t="n">
        <v>2</v>
      </c>
      <c r="E103" t="inlineStr">
        <is>
          <t>patří k barvě, prodávat vedle</t>
        </is>
      </c>
    </row>
    <row r="104">
      <c r="A104" t="inlineStr">
        <is>
          <t>Barvy na zeď a nátěry</t>
        </is>
      </c>
      <c r="B104" t="inlineStr">
        <is>
          <t>Protiplísňový nátěr / Remal 7,5 kg</t>
        </is>
      </c>
      <c r="C104" t="n">
        <v>533</v>
      </c>
      <c r="D104" t="n">
        <v>1</v>
      </c>
    </row>
    <row r="105">
      <c r="A105" t="inlineStr">
        <is>
          <t>Barvy na zeď a nátěry</t>
        </is>
      </c>
      <c r="B105" t="inlineStr">
        <is>
          <t>Bochemit proti plísním 500 ml rozprašovač</t>
        </is>
      </c>
      <c r="C105" t="n">
        <v>99</v>
      </c>
      <c r="D105" t="n">
        <v>6</v>
      </c>
    </row>
    <row r="106">
      <c r="A106" t="inlineStr">
        <is>
          <t>Barvy na zeď a nátěry</t>
        </is>
      </c>
      <c r="B106" t="inlineStr">
        <is>
          <t>Eternal IN STOP izolační 1 kg</t>
        </is>
      </c>
      <c r="C106" t="n">
        <v>309</v>
      </c>
      <c r="D106" t="n">
        <v>2</v>
      </c>
      <c r="E106" t="inlineStr">
        <is>
          <t>na skvrny a fleky</t>
        </is>
      </c>
    </row>
    <row r="107">
      <c r="A107" t="inlineStr">
        <is>
          <t>Barvy na zeď a nátěry</t>
        </is>
      </c>
      <c r="B107" t="inlineStr">
        <is>
          <t>Fasádní barva Remal 7,5 kg</t>
        </is>
      </c>
      <c r="C107" t="n">
        <v>639</v>
      </c>
      <c r="D107" t="n">
        <v>1</v>
      </c>
      <c r="E107" t="inlineStr">
        <is>
          <t>jen jedna velikost</t>
        </is>
      </c>
    </row>
    <row r="108">
      <c r="A108" t="inlineStr">
        <is>
          <t>Barvy na zeď a nátěry</t>
        </is>
      </c>
      <c r="B108" t="inlineStr">
        <is>
          <t>Lazura na dřevo 0,75 l (palisandr, ořech, teak)</t>
        </is>
      </c>
      <c r="C108" t="n">
        <v>199</v>
      </c>
      <c r="D108" t="n">
        <v>6</v>
      </c>
      <c r="E108" t="inlineStr">
        <is>
          <t>Luxol Originál</t>
        </is>
      </c>
    </row>
    <row r="109">
      <c r="A109" t="inlineStr">
        <is>
          <t>Barvy na zeď a nátěry</t>
        </is>
      </c>
      <c r="B109" t="inlineStr">
        <is>
          <t>Lak interiérový vodouředitelný 0,6 l mat a lesk</t>
        </is>
      </c>
      <c r="C109" t="n">
        <v>275</v>
      </c>
      <c r="D109" t="n">
        <v>6</v>
      </c>
    </row>
    <row r="110">
      <c r="A110" t="inlineStr">
        <is>
          <t>Barvy na zeď a nátěry</t>
        </is>
      </c>
      <c r="B110" t="inlineStr">
        <is>
          <t>Syntetický email bílý 0,6 l</t>
        </is>
      </c>
      <c r="C110" t="n">
        <v>229</v>
      </c>
      <c r="D110" t="n">
        <v>7</v>
      </c>
    </row>
    <row r="111">
      <c r="A111" t="inlineStr">
        <is>
          <t>Barvy na zeď a nátěry</t>
        </is>
      </c>
      <c r="B111" t="inlineStr">
        <is>
          <t>Základní barva na kov 0,6–0,75 l</t>
        </is>
      </c>
      <c r="C111" t="n">
        <v>200</v>
      </c>
      <c r="D111" t="n">
        <v>10</v>
      </c>
      <c r="E111" t="inlineStr">
        <is>
          <t>Komaprim, syntetika primer</t>
        </is>
      </c>
    </row>
    <row r="112">
      <c r="A112" t="inlineStr">
        <is>
          <t>Barvy na zeď a nátěry</t>
        </is>
      </c>
      <c r="B112" t="inlineStr">
        <is>
          <t>Alkyton 0,7–1 l přímo na rez</t>
        </is>
      </c>
      <c r="C112" t="n">
        <v>549</v>
      </c>
      <c r="D112" t="n">
        <v>20</v>
      </c>
      <c r="E112" t="inlineStr">
        <is>
          <t>20 ks/měs, silná položka</t>
        </is>
      </c>
    </row>
    <row r="113">
      <c r="A113" t="inlineStr">
        <is>
          <t>Barvy na zeď a nátěry</t>
        </is>
      </c>
      <c r="B113" t="inlineStr">
        <is>
          <t>Laksil bezbarvý 0,7 kg</t>
        </is>
      </c>
      <c r="C113" t="n">
        <v>499</v>
      </c>
      <c r="D113" t="n">
        <v>6</v>
      </c>
    </row>
    <row r="114">
      <c r="A114" t="inlineStr">
        <is>
          <t>Barvy na zeď a nátěry</t>
        </is>
      </c>
      <c r="B114" t="inlineStr">
        <is>
          <t>Míchací tyčka, sítko na lak, krycí papír</t>
        </is>
      </c>
      <c r="C114" t="n">
        <v>15</v>
      </c>
      <c r="D114" t="n">
        <v>11</v>
      </c>
      <c r="E114" t="inlineStr">
        <is>
          <t>drobnost k barvě, marže 110–180 %</t>
        </is>
      </c>
    </row>
    <row r="115">
      <c r="A115" t="inlineStr">
        <is>
          <t>Spreje</t>
        </is>
      </c>
      <c r="B115" t="inlineStr">
        <is>
          <t>Značkovací sprej FLUO oranžový</t>
        </is>
      </c>
      <c r="C115" t="n">
        <v>215</v>
      </c>
      <c r="D115" t="n">
        <v>18</v>
      </c>
      <c r="E115" t="inlineStr">
        <is>
          <t>nejprodávanější sprej, 18 ks/měs</t>
        </is>
      </c>
    </row>
    <row r="116">
      <c r="A116" t="inlineStr">
        <is>
          <t>Spreje</t>
        </is>
      </c>
      <c r="B116" t="inlineStr">
        <is>
          <t>Sprej RAL 9005 černý mat a lesk</t>
        </is>
      </c>
      <c r="C116" t="n">
        <v>119</v>
      </c>
      <c r="D116" t="n">
        <v>11</v>
      </c>
    </row>
    <row r="117">
      <c r="A117" t="inlineStr">
        <is>
          <t>Spreje</t>
        </is>
      </c>
      <c r="B117" t="inlineStr">
        <is>
          <t>Sprej RAL 9010 bílý mat</t>
        </is>
      </c>
      <c r="C117" t="n">
        <v>119</v>
      </c>
      <c r="D117" t="n">
        <v>3</v>
      </c>
    </row>
    <row r="118">
      <c r="A118" t="inlineStr">
        <is>
          <t>Spreje</t>
        </is>
      </c>
      <c r="B118" t="inlineStr">
        <is>
          <t>Sprej RAL 3002 červený</t>
        </is>
      </c>
      <c r="C118" t="n">
        <v>119</v>
      </c>
      <c r="D118" t="n">
        <v>3</v>
      </c>
    </row>
    <row r="119">
      <c r="A119" t="inlineStr">
        <is>
          <t>Spreje</t>
        </is>
      </c>
      <c r="B119" t="inlineStr">
        <is>
          <t>Sprej RAL 5010 modrý</t>
        </is>
      </c>
      <c r="C119" t="n">
        <v>119</v>
      </c>
      <c r="D119" t="n">
        <v>2</v>
      </c>
    </row>
    <row r="120">
      <c r="A120" t="inlineStr">
        <is>
          <t>Spreje</t>
        </is>
      </c>
      <c r="B120" t="inlineStr">
        <is>
          <t>Sprej zinek ALU (pozinkování)</t>
        </is>
      </c>
      <c r="C120" t="n">
        <v>189</v>
      </c>
      <c r="D120" t="n">
        <v>4</v>
      </c>
      <c r="E120" t="inlineStr">
        <is>
          <t>opravy plotů a okapů</t>
        </is>
      </c>
    </row>
    <row r="121">
      <c r="A121" t="inlineStr">
        <is>
          <t>Spreje</t>
        </is>
      </c>
      <c r="B121" t="inlineStr">
        <is>
          <t>Antikorozní základ ve spreji šedý</t>
        </is>
      </c>
      <c r="C121" t="n">
        <v>145</v>
      </c>
      <c r="D121" t="n">
        <v>2</v>
      </c>
    </row>
    <row r="122">
      <c r="A122" t="inlineStr">
        <is>
          <t>Spreje</t>
        </is>
      </c>
      <c r="B122" t="inlineStr">
        <is>
          <t>Žáruvzdorný sprej do 600 °C černý</t>
        </is>
      </c>
      <c r="C122" t="n">
        <v>196</v>
      </c>
      <c r="D122" t="n">
        <v>3</v>
      </c>
      <c r="E122" t="inlineStr">
        <is>
          <t>kamna, komíny</t>
        </is>
      </c>
    </row>
    <row r="123">
      <c r="A123" t="inlineStr">
        <is>
          <t>Spreje</t>
        </is>
      </c>
      <c r="B123" t="inlineStr">
        <is>
          <t>Akrylový sprej profi 600 ml černý</t>
        </is>
      </c>
      <c r="C123" t="n">
        <v>249</v>
      </c>
      <c r="D123" t="n">
        <v>8</v>
      </c>
    </row>
    <row r="124">
      <c r="A124" t="inlineStr">
        <is>
          <t>Spreje</t>
        </is>
      </c>
      <c r="B124" t="inlineStr">
        <is>
          <t>Uvolňovač šroubů a rzi 400 ml</t>
        </is>
      </c>
      <c r="C124" t="n">
        <v>153</v>
      </c>
      <c r="D124" t="n">
        <v>2</v>
      </c>
    </row>
    <row r="125">
      <c r="A125" t="inlineStr">
        <is>
          <t>Spreje</t>
        </is>
      </c>
      <c r="B125" t="inlineStr">
        <is>
          <t>Multi sprej 6 v 1 400 ml</t>
        </is>
      </c>
      <c r="C125" t="n">
        <v>219</v>
      </c>
      <c r="D125" t="n">
        <v>2</v>
      </c>
      <c r="E125" t="inlineStr">
        <is>
          <t>marže 141 %</t>
        </is>
      </c>
    </row>
    <row r="126">
      <c r="A126" t="inlineStr">
        <is>
          <t>Spreje</t>
        </is>
      </c>
      <c r="B126" t="inlineStr">
        <is>
          <t>Oživovač plastů 300 ml</t>
        </is>
      </c>
      <c r="C126" t="n">
        <v>99</v>
      </c>
      <c r="D126" t="n">
        <v>3</v>
      </c>
    </row>
    <row r="127">
      <c r="A127" t="inlineStr">
        <is>
          <t>Stavebniny a suché směsi</t>
        </is>
      </c>
      <c r="B127" t="inlineStr">
        <is>
          <t>Flexibilní lepidlo na obklady a dlažbu 25 kg</t>
        </is>
      </c>
      <c r="C127" t="n">
        <v>429</v>
      </c>
      <c r="D127" t="n">
        <v>4</v>
      </c>
      <c r="E127" t="inlineStr">
        <is>
          <t>v datech 4 ks/měs, marže 73 %</t>
        </is>
      </c>
    </row>
    <row r="128">
      <c r="A128" t="inlineStr">
        <is>
          <t>Stavebniny a suché směsi</t>
        </is>
      </c>
      <c r="B128" t="inlineStr">
        <is>
          <t>Cement 25 kg</t>
        </is>
      </c>
      <c r="C128" t="n">
        <v>189</v>
      </c>
      <c r="D128" t="inlineStr">
        <is>
          <t>doplnit</t>
        </is>
      </c>
      <c r="E128" t="inlineStr">
        <is>
          <t>sklad prodejny 2</t>
        </is>
      </c>
    </row>
    <row r="129">
      <c r="A129" t="inlineStr">
        <is>
          <t>Stavebniny a suché směsi</t>
        </is>
      </c>
      <c r="B129" t="inlineStr">
        <is>
          <t>Betonová směs / pískobeton 25 kg</t>
        </is>
      </c>
      <c r="C129" t="n">
        <v>129</v>
      </c>
      <c r="D129" t="inlineStr">
        <is>
          <t>doplnit</t>
        </is>
      </c>
    </row>
    <row r="130">
      <c r="A130" t="inlineStr">
        <is>
          <t>Stavebniny a suché směsi</t>
        </is>
      </c>
      <c r="B130" t="inlineStr">
        <is>
          <t>Sloupkobeton rychletuhnoucí 20–25 kg</t>
        </is>
      </c>
      <c r="C130" t="n">
        <v>149</v>
      </c>
      <c r="D130" t="inlineStr">
        <is>
          <t>doplnit</t>
        </is>
      </c>
      <c r="E130" t="inlineStr">
        <is>
          <t>plotové sloupky, sušáky, vývěsky</t>
        </is>
      </c>
    </row>
    <row r="131">
      <c r="A131" t="inlineStr">
        <is>
          <t>Stavebniny a suché směsi</t>
        </is>
      </c>
      <c r="B131" t="inlineStr">
        <is>
          <t>Zdicí malta 25 kg</t>
        </is>
      </c>
      <c r="C131" t="n">
        <v>129</v>
      </c>
      <c r="D131" t="inlineStr">
        <is>
          <t>doplnit</t>
        </is>
      </c>
    </row>
    <row r="132">
      <c r="A132" t="inlineStr">
        <is>
          <t>Stavebniny a suché směsi</t>
        </is>
      </c>
      <c r="B132" t="inlineStr">
        <is>
          <t>Jádrová omítka 25 kg</t>
        </is>
      </c>
      <c r="C132" t="n">
        <v>155</v>
      </c>
      <c r="D132" t="n">
        <v>5</v>
      </c>
      <c r="E132" t="inlineStr">
        <is>
          <t>v datech 5 ks/měs</t>
        </is>
      </c>
    </row>
    <row r="133">
      <c r="A133" t="inlineStr">
        <is>
          <t>Stavebniny a suché směsi</t>
        </is>
      </c>
      <c r="B133" t="inlineStr">
        <is>
          <t>Sádrová omítka G300 20 kg</t>
        </is>
      </c>
      <c r="C133" t="n">
        <v>257</v>
      </c>
      <c r="D133" t="n">
        <v>2</v>
      </c>
    </row>
    <row r="134">
      <c r="A134" t="inlineStr">
        <is>
          <t>Stavebniny a suché směsi</t>
        </is>
      </c>
      <c r="B134" t="inlineStr">
        <is>
          <t>Lepicí a stěrkový tmel fasáda 25 kg</t>
        </is>
      </c>
      <c r="C134" t="n">
        <v>229</v>
      </c>
      <c r="D134" t="n">
        <v>4</v>
      </c>
    </row>
    <row r="135">
      <c r="A135" t="inlineStr">
        <is>
          <t>Stavebniny a suché směsi</t>
        </is>
      </c>
      <c r="B135" t="inlineStr">
        <is>
          <t>Spárovací hmota 5 kg (bílá, šedá)</t>
        </is>
      </c>
      <c r="C135" t="n">
        <v>189</v>
      </c>
      <c r="D135" t="inlineStr">
        <is>
          <t>doplnit</t>
        </is>
      </c>
    </row>
    <row r="136">
      <c r="A136" t="inlineStr">
        <is>
          <t>Stavebniny a suché směsi</t>
        </is>
      </c>
      <c r="B136" t="inlineStr">
        <is>
          <t>Finish tmel na sádrokarton 5 kg</t>
        </is>
      </c>
      <c r="C136" t="n">
        <v>135</v>
      </c>
      <c r="D136" t="n">
        <v>2</v>
      </c>
    </row>
    <row r="137">
      <c r="A137" t="inlineStr">
        <is>
          <t>Stavebniny a suché směsi</t>
        </is>
      </c>
      <c r="B137" t="inlineStr">
        <is>
          <t>Uniflex štukový a akrylátový 400 g</t>
        </is>
      </c>
      <c r="C137" t="n">
        <v>65</v>
      </c>
      <c r="D137" t="n">
        <v>4</v>
      </c>
      <c r="E137" t="inlineStr">
        <is>
          <t>malá oprava zdi</t>
        </is>
      </c>
    </row>
    <row r="138">
      <c r="A138" t="inlineStr">
        <is>
          <t>Stavebniny a suché směsi</t>
        </is>
      </c>
      <c r="B138" t="inlineStr">
        <is>
          <t>Penetrace 1 kg a hloubková 5 l</t>
        </is>
      </c>
      <c r="C138" t="n">
        <v>84</v>
      </c>
      <c r="D138" t="n">
        <v>4</v>
      </c>
      <c r="E138" t="inlineStr">
        <is>
          <t>patří k omítce i k barvě</t>
        </is>
      </c>
    </row>
    <row r="139">
      <c r="A139" t="inlineStr">
        <is>
          <t>Stavebniny a suché směsi</t>
        </is>
      </c>
      <c r="B139" t="inlineStr">
        <is>
          <t>Krabice a víčka do sádrokartonu</t>
        </is>
      </c>
      <c r="C139" t="n">
        <v>40</v>
      </c>
      <c r="D139" t="n">
        <v>7</v>
      </c>
    </row>
    <row r="140">
      <c r="A140" t="inlineStr">
        <is>
          <t>Stavebniny a suché směsi</t>
        </is>
      </c>
      <c r="B140" t="inlineStr">
        <is>
          <t>Perlinka 50 m a rohová lišta</t>
        </is>
      </c>
      <c r="C140" t="n">
        <v>299</v>
      </c>
      <c r="D140" t="inlineStr">
        <is>
          <t>doplnit</t>
        </is>
      </c>
    </row>
    <row r="141">
      <c r="A141" t="inlineStr">
        <is>
          <t>Stavebniny a suché směsi</t>
        </is>
      </c>
      <c r="B141" t="inlineStr">
        <is>
          <t>Pytle na suť 120 l (3 ks)</t>
        </is>
      </c>
      <c r="C141" t="n">
        <v>89</v>
      </c>
      <c r="D141" t="n">
        <v>3</v>
      </c>
      <c r="E141" t="inlineStr">
        <is>
          <t>marže 148 %</t>
        </is>
      </c>
    </row>
    <row r="142">
      <c r="A142" t="inlineStr">
        <is>
          <t>Stavebniny a suché směsi</t>
        </is>
      </c>
      <c r="B142" t="inlineStr">
        <is>
          <t>Stavební kolečko / zednická lžíce a hladítko</t>
        </is>
      </c>
      <c r="C142" t="n">
        <v>199</v>
      </c>
      <c r="D142" t="inlineStr">
        <is>
          <t>doplnit</t>
        </is>
      </c>
    </row>
    <row r="143">
      <c r="A143" t="inlineStr">
        <is>
          <t>Vodoinstalace</t>
        </is>
      </c>
      <c r="B143" t="inlineStr">
        <is>
          <t>Hadicové spony 8–12 / 12–20 / 16–25 / 20–32 / 25–40 / 32–50</t>
        </is>
      </c>
      <c r="C143" t="n">
        <v>9</v>
      </c>
      <c r="D143" t="n">
        <v>77</v>
      </c>
      <c r="E143" t="inlineStr">
        <is>
          <t>celá řada</t>
        </is>
      </c>
    </row>
    <row r="144">
      <c r="A144" t="inlineStr">
        <is>
          <t>Vodoinstalace</t>
        </is>
      </c>
      <c r="B144" t="inlineStr">
        <is>
          <t>Objímka trubková 2-šroub 31–38 mm</t>
        </is>
      </c>
      <c r="C144" t="n">
        <v>16</v>
      </c>
      <c r="D144" t="n">
        <v>25</v>
      </c>
    </row>
    <row r="145">
      <c r="A145" t="inlineStr">
        <is>
          <t>Vodoinstalace</t>
        </is>
      </c>
      <c r="B145" t="inlineStr">
        <is>
          <t>Objímka trubková 2-šroub 54–59 mm</t>
        </is>
      </c>
      <c r="C145" t="n">
        <v>22</v>
      </c>
      <c r="D145" t="n">
        <v>14</v>
      </c>
    </row>
    <row r="146">
      <c r="A146" t="inlineStr">
        <is>
          <t>Vodoinstalace</t>
        </is>
      </c>
      <c r="B146" t="inlineStr">
        <is>
          <t>Příchytka na potrubí 20 / 25 mm</t>
        </is>
      </c>
      <c r="C146" t="n">
        <v>8</v>
      </c>
      <c r="D146" t="n">
        <v>17</v>
      </c>
    </row>
    <row r="147">
      <c r="A147" t="inlineStr">
        <is>
          <t>Vodoinstalace</t>
        </is>
      </c>
      <c r="B147" t="inlineStr">
        <is>
          <t>PPR koleno 90° 20 mm, T-kus 20, nátrubek 20</t>
        </is>
      </c>
      <c r="C147" t="n">
        <v>8</v>
      </c>
      <c r="D147" t="n">
        <v>15</v>
      </c>
      <c r="E147" t="inlineStr">
        <is>
          <t>jen dimenze 20 a 25</t>
        </is>
      </c>
    </row>
    <row r="148">
      <c r="A148" t="inlineStr">
        <is>
          <t>Vodoinstalace</t>
        </is>
      </c>
      <c r="B148" t="inlineStr">
        <is>
          <t>Mosazná vsuvka 3/4", 1/2"</t>
        </is>
      </c>
      <c r="C148" t="n">
        <v>48</v>
      </c>
      <c r="D148" t="n">
        <v>9</v>
      </c>
    </row>
    <row r="149">
      <c r="A149" t="inlineStr">
        <is>
          <t>Vodoinstalace</t>
        </is>
      </c>
      <c r="B149" t="inlineStr">
        <is>
          <t>Tubex izolace 20×10 mm (2 m)</t>
        </is>
      </c>
      <c r="C149" t="n">
        <v>12</v>
      </c>
      <c r="D149" t="n">
        <v>14</v>
      </c>
    </row>
    <row r="150">
      <c r="A150" t="inlineStr">
        <is>
          <t>Vodoinstalace</t>
        </is>
      </c>
      <c r="B150" t="inlineStr">
        <is>
          <t>Těsnění gumová sada 1/2"–3/4"</t>
        </is>
      </c>
      <c r="C150" t="n">
        <v>25</v>
      </c>
      <c r="D150" t="inlineStr">
        <is>
          <t>doplnit</t>
        </is>
      </c>
      <c r="E150" t="inlineStr">
        <is>
          <t>nejčastější havárie</t>
        </is>
      </c>
    </row>
    <row r="151">
      <c r="A151" t="inlineStr">
        <is>
          <t>Vodoinstalace</t>
        </is>
      </c>
      <c r="B151" t="inlineStr">
        <is>
          <t>Flexi hadička 3/8" 30–50 cm</t>
        </is>
      </c>
      <c r="C151" t="n">
        <v>79</v>
      </c>
      <c r="D151" t="inlineStr">
        <is>
          <t>doplnit</t>
        </is>
      </c>
    </row>
    <row r="152">
      <c r="A152" t="inlineStr">
        <is>
          <t>Vodoinstalace</t>
        </is>
      </c>
      <c r="B152" t="inlineStr">
        <is>
          <t>Perlátor M22/M24</t>
        </is>
      </c>
      <c r="C152" t="n">
        <v>39</v>
      </c>
      <c r="D152" t="inlineStr">
        <is>
          <t>doplnit</t>
        </is>
      </c>
    </row>
    <row r="153">
      <c r="A153" t="inlineStr">
        <is>
          <t>Vodoinstalace</t>
        </is>
      </c>
      <c r="B153" t="inlineStr">
        <is>
          <t>Sprchová hadice 150 cm</t>
        </is>
      </c>
      <c r="C153" t="n">
        <v>245</v>
      </c>
      <c r="D153" t="n">
        <v>3</v>
      </c>
    </row>
    <row r="154">
      <c r="A154" t="inlineStr">
        <is>
          <t>Vodoinstalace</t>
        </is>
      </c>
      <c r="B154" t="inlineStr">
        <is>
          <t>Sifon umyvadlový plast</t>
        </is>
      </c>
      <c r="C154" t="n">
        <v>89</v>
      </c>
      <c r="D154" t="inlineStr">
        <is>
          <t>doplnit</t>
        </is>
      </c>
    </row>
    <row r="155">
      <c r="A155" t="inlineStr">
        <is>
          <t>Vodoinstalace</t>
        </is>
      </c>
      <c r="B155" t="inlineStr">
        <is>
          <t>Zahradní hadice 1/2" 20 m + rychlospojky</t>
        </is>
      </c>
      <c r="C155" t="n">
        <v>399</v>
      </c>
      <c r="D155" t="inlineStr">
        <is>
          <t>doplnit</t>
        </is>
      </c>
      <c r="E155" t="inlineStr">
        <is>
          <t>ověřit z dat prodejny 2</t>
        </is>
      </c>
    </row>
    <row r="156">
      <c r="A156" t="inlineStr">
        <is>
          <t>Spojovací materiál (blistry)</t>
        </is>
      </c>
      <c r="B156" t="inlineStr">
        <is>
          <t>Vruty do dřeva 3,5×30 (100 ks)</t>
        </is>
      </c>
      <c r="C156" t="n">
        <v>59</v>
      </c>
      <c r="D156" t="inlineStr">
        <is>
          <t>doplnit</t>
        </is>
      </c>
      <c r="E156" t="inlineStr">
        <is>
          <t>nejmenší běžná velikost</t>
        </is>
      </c>
    </row>
    <row r="157">
      <c r="A157" t="inlineStr">
        <is>
          <t>Spojovací materiál (blistry)</t>
        </is>
      </c>
      <c r="B157" t="inlineStr">
        <is>
          <t>Vruty do dřeva 4×40 (100 ks)</t>
        </is>
      </c>
      <c r="C157" t="n">
        <v>69</v>
      </c>
      <c r="D157" t="inlineStr">
        <is>
          <t>doplnit</t>
        </is>
      </c>
    </row>
    <row r="158">
      <c r="A158" t="inlineStr">
        <is>
          <t>Spojovací materiál (blistry)</t>
        </is>
      </c>
      <c r="B158" t="inlineStr">
        <is>
          <t>Vruty do dřeva 4×50 (100 ks)</t>
        </is>
      </c>
      <c r="C158" t="n">
        <v>79</v>
      </c>
      <c r="D158" t="inlineStr">
        <is>
          <t>doplnit</t>
        </is>
      </c>
    </row>
    <row r="159">
      <c r="A159" t="inlineStr">
        <is>
          <t>Spojovací materiál (blistry)</t>
        </is>
      </c>
      <c r="B159" t="inlineStr">
        <is>
          <t>Vruty do dřeva 4,5×60 (50 ks)</t>
        </is>
      </c>
      <c r="C159" t="n">
        <v>79</v>
      </c>
      <c r="D159" t="inlineStr">
        <is>
          <t>doplnit</t>
        </is>
      </c>
    </row>
    <row r="160">
      <c r="A160" t="inlineStr">
        <is>
          <t>Spojovací materiál (blistry)</t>
        </is>
      </c>
      <c r="B160" t="inlineStr">
        <is>
          <t>Vruty do dřeva 5×70 (50 ks)</t>
        </is>
      </c>
      <c r="C160" t="n">
        <v>89</v>
      </c>
      <c r="D160" t="inlineStr">
        <is>
          <t>doplnit</t>
        </is>
      </c>
    </row>
    <row r="161">
      <c r="A161" t="inlineStr">
        <is>
          <t>Spojovací materiál (blistry)</t>
        </is>
      </c>
      <c r="B161" t="inlineStr">
        <is>
          <t>Vruty do dřeva 6×80 / 6×100 (25 ks)</t>
        </is>
      </c>
      <c r="C161" t="n">
        <v>99</v>
      </c>
      <c r="D161" t="inlineStr">
        <is>
          <t>doplnit</t>
        </is>
      </c>
      <c r="E161" t="inlineStr">
        <is>
          <t>terasy, konstrukce</t>
        </is>
      </c>
    </row>
    <row r="162">
      <c r="A162" t="inlineStr">
        <is>
          <t>Spojovací materiál (blistry)</t>
        </is>
      </c>
      <c r="B162" t="inlineStr">
        <is>
          <t>Vruty do sádrokartonu 3,5×25 a 3,5×35 (200 ks)</t>
        </is>
      </c>
      <c r="C162" t="n">
        <v>79</v>
      </c>
      <c r="D162" t="inlineStr">
        <is>
          <t>doplnit</t>
        </is>
      </c>
    </row>
    <row r="163">
      <c r="A163" t="inlineStr">
        <is>
          <t>Spojovací materiál (blistry)</t>
        </is>
      </c>
      <c r="B163" t="inlineStr">
        <is>
          <t>Šrouby do plechu 2,9×13 a 2,9×9,5 (50 ks)</t>
        </is>
      </c>
      <c r="C163" t="n">
        <v>29</v>
      </c>
      <c r="D163" t="n">
        <v>37</v>
      </c>
      <c r="E163" t="inlineStr">
        <is>
          <t>v datech 37 ks/měs po 0,30–0,40 Kč</t>
        </is>
      </c>
    </row>
    <row r="164">
      <c r="A164" t="inlineStr">
        <is>
          <t>Spojovací materiál (blistry)</t>
        </is>
      </c>
      <c r="B164" t="inlineStr">
        <is>
          <t>Hmoždinky nylon 5 mm (50 ks)</t>
        </is>
      </c>
      <c r="C164" t="n">
        <v>39</v>
      </c>
      <c r="D164" t="inlineStr">
        <is>
          <t>doplnit</t>
        </is>
      </c>
    </row>
    <row r="165">
      <c r="A165" t="inlineStr">
        <is>
          <t>Spojovací materiál (blistry)</t>
        </is>
      </c>
      <c r="B165" t="inlineStr">
        <is>
          <t>Hmoždinky nylon 6 mm (50 ks)</t>
        </is>
      </c>
      <c r="C165" t="n">
        <v>45</v>
      </c>
      <c r="D165" t="inlineStr">
        <is>
          <t>doplnit</t>
        </is>
      </c>
      <c r="E165" t="inlineStr">
        <is>
          <t>nejžádanější rozměr</t>
        </is>
      </c>
    </row>
    <row r="166">
      <c r="A166" t="inlineStr">
        <is>
          <t>Spojovací materiál (blistry)</t>
        </is>
      </c>
      <c r="B166" t="inlineStr">
        <is>
          <t>Hmoždinky nylon 8 mm (50 ks)</t>
        </is>
      </c>
      <c r="C166" t="n">
        <v>55</v>
      </c>
      <c r="D166" t="inlineStr">
        <is>
          <t>doplnit</t>
        </is>
      </c>
    </row>
    <row r="167">
      <c r="A167" t="inlineStr">
        <is>
          <t>Spojovací materiál (blistry)</t>
        </is>
      </c>
      <c r="B167" t="inlineStr">
        <is>
          <t>Hmoždinky nylon 10 mm (25 ks)</t>
        </is>
      </c>
      <c r="C167" t="n">
        <v>59</v>
      </c>
      <c r="D167" t="inlineStr">
        <is>
          <t>doplnit</t>
        </is>
      </c>
    </row>
    <row r="168">
      <c r="A168" t="inlineStr">
        <is>
          <t>Spojovací materiál (blistry)</t>
        </is>
      </c>
      <c r="B168" t="inlineStr">
        <is>
          <t>Hmoždinka s vrutem 6×40 a 8×60 (20 ks)</t>
        </is>
      </c>
      <c r="C168" t="n">
        <v>79</v>
      </c>
      <c r="D168" t="inlineStr">
        <is>
          <t>doplnit</t>
        </is>
      </c>
      <c r="E168" t="inlineStr">
        <is>
          <t>natloukací, na lišty</t>
        </is>
      </c>
    </row>
    <row r="169">
      <c r="A169" t="inlineStr">
        <is>
          <t>Spojovací materiál (blistry)</t>
        </is>
      </c>
      <c r="B169" t="inlineStr">
        <is>
          <t>Hmoždinka rámová 10×100 / 10×135 (10 ks)</t>
        </is>
      </c>
      <c r="C169" t="n">
        <v>89</v>
      </c>
      <c r="D169" t="inlineStr">
        <is>
          <t>doplnit</t>
        </is>
      </c>
      <c r="E169" t="inlineStr">
        <is>
          <t>okna, zárubně</t>
        </is>
      </c>
    </row>
    <row r="170">
      <c r="A170" t="inlineStr">
        <is>
          <t>Spojovací materiál (blistry)</t>
        </is>
      </c>
      <c r="B170" t="inlineStr">
        <is>
          <t>Hmoždinka do dutin (sádrokarton) sada</t>
        </is>
      </c>
      <c r="C170" t="n">
        <v>79</v>
      </c>
      <c r="D170" t="inlineStr">
        <is>
          <t>doplnit</t>
        </is>
      </c>
    </row>
    <row r="171">
      <c r="A171" t="inlineStr">
        <is>
          <t>Spojovací materiál (blistry)</t>
        </is>
      </c>
      <c r="B171" t="inlineStr">
        <is>
          <t>Šrouby M6 a M8 s maticí a podložkou (sada)</t>
        </is>
      </c>
      <c r="C171" t="n">
        <v>69</v>
      </c>
      <c r="D171" t="inlineStr">
        <is>
          <t>doplnit</t>
        </is>
      </c>
    </row>
    <row r="172">
      <c r="A172" t="inlineStr">
        <is>
          <t>Spojovací materiál (blistry)</t>
        </is>
      </c>
      <c r="B172" t="inlineStr">
        <is>
          <t>Matice M6/M8/M10 (sada)</t>
        </is>
      </c>
      <c r="C172" t="n">
        <v>39</v>
      </c>
      <c r="D172" t="inlineStr">
        <is>
          <t>doplnit</t>
        </is>
      </c>
    </row>
    <row r="173">
      <c r="A173" t="inlineStr">
        <is>
          <t>Spojovací materiál (blistry)</t>
        </is>
      </c>
      <c r="B173" t="inlineStr">
        <is>
          <t>Podložky ploché a pružné (sada mix)</t>
        </is>
      </c>
      <c r="C173" t="n">
        <v>39</v>
      </c>
      <c r="D173" t="inlineStr">
        <is>
          <t>doplnit</t>
        </is>
      </c>
    </row>
    <row r="174">
      <c r="A174" t="inlineStr">
        <is>
          <t>Spojovací materiál (blistry)</t>
        </is>
      </c>
      <c r="B174" t="inlineStr">
        <is>
          <t>Hřebíky 40 / 60 / 80 mm (sáček 0,5 kg)</t>
        </is>
      </c>
      <c r="C174" t="n">
        <v>49</v>
      </c>
      <c r="D174" t="inlineStr">
        <is>
          <t>doplnit</t>
        </is>
      </c>
    </row>
    <row r="175">
      <c r="A175" t="inlineStr">
        <is>
          <t>Spojovací materiál (blistry)</t>
        </is>
      </c>
      <c r="B175" t="inlineStr">
        <is>
          <t>Hřebíčky čalounické a lepenkové (sáček)</t>
        </is>
      </c>
      <c r="C175" t="n">
        <v>29</v>
      </c>
      <c r="D175" t="inlineStr">
        <is>
          <t>doplnit</t>
        </is>
      </c>
    </row>
    <row r="176">
      <c r="A176" t="inlineStr">
        <is>
          <t>Spojovací materiál (blistry)</t>
        </is>
      </c>
      <c r="B176" t="inlineStr">
        <is>
          <t>Závitová tyč M8 1 m</t>
        </is>
      </c>
      <c r="C176" t="n">
        <v>89</v>
      </c>
      <c r="D176" t="inlineStr">
        <is>
          <t>doplnit</t>
        </is>
      </c>
    </row>
    <row r="177">
      <c r="A177" t="inlineStr">
        <is>
          <t>Spojovací materiál (blistry)</t>
        </is>
      </c>
      <c r="B177" t="inlineStr">
        <is>
          <t>Skoby, háky do zdi, oka (sada)</t>
        </is>
      </c>
      <c r="C177" t="n">
        <v>39</v>
      </c>
      <c r="D177" t="inlineStr">
        <is>
          <t>doplnit</t>
        </is>
      </c>
    </row>
    <row r="178">
      <c r="A178" t="inlineStr">
        <is>
          <t>Spojovací materiál (blistry)</t>
        </is>
      </c>
      <c r="B178" t="inlineStr">
        <is>
          <t>Zárohák (hák do zdi)</t>
        </is>
      </c>
      <c r="C178" t="n">
        <v>69</v>
      </c>
      <c r="D178" t="n">
        <v>5</v>
      </c>
    </row>
    <row r="179">
      <c r="A179" t="inlineStr">
        <is>
          <t>Spojovací materiál (blistry)</t>
        </is>
      </c>
      <c r="B179" t="inlineStr">
        <is>
          <t>Chemická kotva 165 / 300 ml</t>
        </is>
      </c>
      <c r="C179" t="n">
        <v>190</v>
      </c>
      <c r="D179" t="n">
        <v>7</v>
      </c>
      <c r="E179" t="inlineStr">
        <is>
          <t>prodává se 7 ks/měs</t>
        </is>
      </c>
    </row>
    <row r="180">
      <c r="A180" t="inlineStr">
        <is>
          <t>Spojovací materiál (blistry)</t>
        </is>
      </c>
      <c r="B180" t="inlineStr">
        <is>
          <t>Vázací pásky 200 / 300 / 500 mm (50 ks)</t>
        </is>
      </c>
      <c r="C180" t="n">
        <v>59</v>
      </c>
      <c r="D180" t="n">
        <v>42</v>
      </c>
      <c r="E180" t="inlineStr">
        <is>
          <t>42 ks/měs, marže 70–190 %</t>
        </is>
      </c>
    </row>
    <row r="181">
      <c r="A181" t="inlineStr">
        <is>
          <t>Spojovací materiál (blistry)</t>
        </is>
      </c>
      <c r="B181" t="inlineStr">
        <is>
          <t>Vázací drát pozink 50 m</t>
        </is>
      </c>
      <c r="C181" t="n">
        <v>49</v>
      </c>
      <c r="D181" t="inlineStr">
        <is>
          <t>doplnit</t>
        </is>
      </c>
    </row>
    <row r="182">
      <c r="A182" t="inlineStr">
        <is>
          <t>Spojovací materiál (blistry)</t>
        </is>
      </c>
      <c r="B182" t="inlineStr">
        <is>
          <t>Karabiny a řetěz po 1 m</t>
        </is>
      </c>
      <c r="C182" t="n">
        <v>59</v>
      </c>
      <c r="D182" t="inlineStr">
        <is>
          <t>doplnit</t>
        </is>
      </c>
    </row>
    <row r="183">
      <c r="A183" t="inlineStr">
        <is>
          <t>Spojovací materiál (blistry)</t>
        </is>
      </c>
      <c r="B183" t="inlineStr">
        <is>
          <t>Trhací nýty 4×10 (50 ks)</t>
        </is>
      </c>
      <c r="C183" t="n">
        <v>59</v>
      </c>
      <c r="D183" t="inlineStr">
        <is>
          <t>doplnit</t>
        </is>
      </c>
    </row>
    <row r="184">
      <c r="A184" t="inlineStr">
        <is>
          <t>Spojovací materiál (blistry)</t>
        </is>
      </c>
      <c r="B184" t="inlineStr">
        <is>
          <t>Turbošrouby do betonu 7,5×60 a 7,5×100 (10 ks)</t>
        </is>
      </c>
      <c r="C184" t="n">
        <v>99</v>
      </c>
      <c r="D184" t="inlineStr">
        <is>
          <t>doplnit</t>
        </is>
      </c>
      <c r="E184" t="inlineStr">
        <is>
          <t>bez hmoždinky, rychlé kotvení</t>
        </is>
      </c>
    </row>
    <row r="185">
      <c r="A185" t="inlineStr">
        <is>
          <t>Spojovací materiál (blistry)</t>
        </is>
      </c>
      <c r="B185" t="inlineStr">
        <is>
          <t>Natloukací hmoždinky 6×40 a 8×60 (50 ks)</t>
        </is>
      </c>
      <c r="C185" t="n">
        <v>79</v>
      </c>
      <c r="D185" t="inlineStr">
        <is>
          <t>doplnit</t>
        </is>
      </c>
      <c r="E185" t="inlineStr">
        <is>
          <t>lišty, latě</t>
        </is>
      </c>
    </row>
    <row r="186">
      <c r="A186" t="inlineStr">
        <is>
          <t>Spojovací materiál (blistry)</t>
        </is>
      </c>
      <c r="B186" t="inlineStr">
        <is>
          <t>Hřebíky do betonu (sáček)</t>
        </is>
      </c>
      <c r="C186" t="n">
        <v>49</v>
      </c>
      <c r="D186" t="inlineStr">
        <is>
          <t>doplnit</t>
        </is>
      </c>
    </row>
    <row r="187">
      <c r="A187" t="inlineStr">
        <is>
          <t>Spojovací materiál (blistry)</t>
        </is>
      </c>
      <c r="B187" t="inlineStr">
        <is>
          <t>Tesařské úhelníky 40, 70, 90 mm</t>
        </is>
      </c>
      <c r="C187" t="n">
        <v>25</v>
      </c>
      <c r="D187" t="inlineStr">
        <is>
          <t>doplnit</t>
        </is>
      </c>
      <c r="E187" t="inlineStr">
        <is>
          <t>k vrutům, časté u altánů a plotů</t>
        </is>
      </c>
    </row>
    <row r="188">
      <c r="A188" t="inlineStr">
        <is>
          <t>Spojovací materiál (blistry)</t>
        </is>
      </c>
      <c r="B188" t="inlineStr">
        <is>
          <t>Spojka a patka sloupku 70/90 mm</t>
        </is>
      </c>
      <c r="C188" t="n">
        <v>149</v>
      </c>
      <c r="D188" t="inlineStr">
        <is>
          <t>doplnit</t>
        </is>
      </c>
      <c r="E188" t="inlineStr">
        <is>
          <t>ke sloupkobetonu</t>
        </is>
      </c>
    </row>
    <row r="189">
      <c r="A189" t="inlineStr">
        <is>
          <t>Spojovací materiál (blistry)</t>
        </is>
      </c>
      <c r="B189" t="inlineStr">
        <is>
          <t>Vruty do dřeva 4,5×70 a 5×90 (25 ks)</t>
        </is>
      </c>
      <c r="C189" t="n">
        <v>89</v>
      </c>
      <c r="D189" t="inlineStr">
        <is>
          <t>doplnit</t>
        </is>
      </c>
      <c r="E189" t="inlineStr">
        <is>
          <t>plot, terasa</t>
        </is>
      </c>
    </row>
    <row r="190">
      <c r="A190" t="inlineStr">
        <is>
          <t>Spojovací materiál (blistry)</t>
        </is>
      </c>
      <c r="B190" t="inlineStr">
        <is>
          <t>Vruty se zápustnou hlavou TORX (sada s bitem)</t>
        </is>
      </c>
      <c r="C190" t="n">
        <v>99</v>
      </c>
      <c r="D190" t="inlineStr">
        <is>
          <t>doplnit</t>
        </is>
      </c>
      <c r="E190" t="inlineStr">
        <is>
          <t>bit v balení je hlavní důvod nákupu</t>
        </is>
      </c>
    </row>
    <row r="191">
      <c r="A191" t="inlineStr">
        <is>
          <t>Spojovací materiál (blistry)</t>
        </is>
      </c>
      <c r="B191" t="inlineStr">
        <is>
          <t>Šrouby M6/M8/M10 s maticí, 60–100 mm (sada)</t>
        </is>
      </c>
      <c r="C191" t="n">
        <v>89</v>
      </c>
      <c r="D191" t="inlineStr">
        <is>
          <t>doplnit</t>
        </is>
      </c>
    </row>
    <row r="192">
      <c r="A192" t="inlineStr">
        <is>
          <t>Spojovací materiál (blistry)</t>
        </is>
      </c>
      <c r="B192" t="inlineStr">
        <is>
          <t>Vratové šrouby 8×80 s maticí (10 ks)</t>
        </is>
      </c>
      <c r="C192" t="n">
        <v>79</v>
      </c>
      <c r="D192" t="inlineStr">
        <is>
          <t>doplnit</t>
        </is>
      </c>
    </row>
    <row r="193">
      <c r="A193" t="inlineStr">
        <is>
          <t>Spojovací materiál (blistry)</t>
        </is>
      </c>
      <c r="B193" t="inlineStr">
        <is>
          <t>Závitová tyč M6 a M10 1 m</t>
        </is>
      </c>
      <c r="C193" t="n">
        <v>99</v>
      </c>
      <c r="D193" t="inlineStr">
        <is>
          <t>doplnit</t>
        </is>
      </c>
    </row>
    <row r="194">
      <c r="A194" t="inlineStr">
        <is>
          <t>Spojovací materiál (blistry)</t>
        </is>
      </c>
      <c r="B194" t="inlineStr">
        <is>
          <t>Trhací nýty 3,2 a 4,8 mm (50 ks)</t>
        </is>
      </c>
      <c r="C194" t="n">
        <v>59</v>
      </c>
      <c r="D194" t="inlineStr">
        <is>
          <t>doplnit</t>
        </is>
      </c>
    </row>
    <row r="195">
      <c r="A195" t="inlineStr">
        <is>
          <t>Spojovací materiál (blistry)</t>
        </is>
      </c>
      <c r="B195" t="inlineStr">
        <is>
          <t>Sponky do sponkovačky typ G 10–12 mm</t>
        </is>
      </c>
      <c r="C195" t="n">
        <v>59</v>
      </c>
      <c r="D195" t="inlineStr">
        <is>
          <t>doplnit</t>
        </is>
      </c>
    </row>
    <row r="196">
      <c r="A196" t="inlineStr">
        <is>
          <t>Spojovací materiál (blistry)</t>
        </is>
      </c>
      <c r="B196" t="inlineStr">
        <is>
          <t>Šroub s okem a vrut s hákem (sada)</t>
        </is>
      </c>
      <c r="C196" t="n">
        <v>45</v>
      </c>
      <c r="D196" t="inlineStr">
        <is>
          <t>doplnit</t>
        </is>
      </c>
    </row>
    <row r="197">
      <c r="A197" t="inlineStr">
        <is>
          <t>Ruční nářadí</t>
        </is>
      </c>
      <c r="B197" t="inlineStr">
        <is>
          <t>Svinovací metr 5 m</t>
        </is>
      </c>
      <c r="C197" t="n">
        <v>99</v>
      </c>
      <c r="D197" t="n">
        <v>9</v>
      </c>
    </row>
    <row r="198">
      <c r="A198" t="inlineStr">
        <is>
          <t>Ruční nářadí</t>
        </is>
      </c>
      <c r="B198" t="inlineStr">
        <is>
          <t>Odlamovací nůž 18 mm kovový</t>
        </is>
      </c>
      <c r="C198" t="n">
        <v>89</v>
      </c>
      <c r="D198" t="n">
        <v>7</v>
      </c>
    </row>
    <row r="199">
      <c r="A199" t="inlineStr">
        <is>
          <t>Ruční nářadí</t>
        </is>
      </c>
      <c r="B199" t="inlineStr">
        <is>
          <t>Náhradní čepele 18 mm 10 ks</t>
        </is>
      </c>
      <c r="C199" t="n">
        <v>40</v>
      </c>
      <c r="D199" t="n">
        <v>12</v>
      </c>
    </row>
    <row r="200">
      <c r="A200" t="inlineStr">
        <is>
          <t>Ruční nářadí</t>
        </is>
      </c>
      <c r="B200" t="inlineStr">
        <is>
          <t>Šroubovák s bity (ráčna + 20 bitů)</t>
        </is>
      </c>
      <c r="C200" t="n">
        <v>199</v>
      </c>
      <c r="D200" t="inlineStr">
        <is>
          <t>doplnit</t>
        </is>
      </c>
    </row>
    <row r="201">
      <c r="A201" t="inlineStr">
        <is>
          <t>Ruční nářadí</t>
        </is>
      </c>
      <c r="B201" t="inlineStr">
        <is>
          <t>Kleště kombinované 180 mm</t>
        </is>
      </c>
      <c r="C201" t="n">
        <v>149</v>
      </c>
      <c r="D201" t="inlineStr">
        <is>
          <t>doplnit</t>
        </is>
      </c>
    </row>
    <row r="202">
      <c r="A202" t="inlineStr">
        <is>
          <t>Ruční nářadí</t>
        </is>
      </c>
      <c r="B202" t="inlineStr">
        <is>
          <t>Kladivo 300 g</t>
        </is>
      </c>
      <c r="C202" t="n">
        <v>129</v>
      </c>
      <c r="D202" t="inlineStr">
        <is>
          <t>doplnit</t>
        </is>
      </c>
    </row>
    <row r="203">
      <c r="A203" t="inlineStr">
        <is>
          <t>Ruční nářadí</t>
        </is>
      </c>
      <c r="B203" t="inlineStr">
        <is>
          <t>Ocelový kartáč 5řadý</t>
        </is>
      </c>
      <c r="C203" t="n">
        <v>68</v>
      </c>
      <c r="D203" t="n">
        <v>5</v>
      </c>
    </row>
    <row r="204">
      <c r="A204" t="inlineStr">
        <is>
          <t>Ruční nářadí</t>
        </is>
      </c>
      <c r="B204" t="inlineStr">
        <is>
          <t>Pilka na kov / pilový list</t>
        </is>
      </c>
      <c r="C204" t="n">
        <v>99</v>
      </c>
      <c r="D204" t="inlineStr">
        <is>
          <t>doplnit</t>
        </is>
      </c>
    </row>
    <row r="205">
      <c r="A205" t="inlineStr">
        <is>
          <t>Ruční nářadí</t>
        </is>
      </c>
      <c r="B205" t="inlineStr">
        <is>
          <t>Vodováha 40 cm</t>
        </is>
      </c>
      <c r="C205" t="n">
        <v>99</v>
      </c>
      <c r="D205" t="inlineStr">
        <is>
          <t>doplnit</t>
        </is>
      </c>
    </row>
    <row r="206">
      <c r="A206" t="inlineStr">
        <is>
          <t>Ruční nářadí</t>
        </is>
      </c>
      <c r="B206" t="inlineStr">
        <is>
          <t>Sada imbus klíčů</t>
        </is>
      </c>
      <c r="C206" t="n">
        <v>89</v>
      </c>
      <c r="D206" t="inlineStr">
        <is>
          <t>doplnit</t>
        </is>
      </c>
    </row>
    <row r="207">
      <c r="A207" t="inlineStr">
        <is>
          <t>Ruční nářadí</t>
        </is>
      </c>
      <c r="B207" t="inlineStr">
        <is>
          <t>Zavírací nůž</t>
        </is>
      </c>
      <c r="C207" t="n">
        <v>163</v>
      </c>
      <c r="D207" t="n">
        <v>4</v>
      </c>
    </row>
    <row r="208">
      <c r="A208" t="inlineStr">
        <is>
          <t>Ruční nářadí</t>
        </is>
      </c>
      <c r="B208" t="inlineStr">
        <is>
          <t>Vědro stavební 12 l</t>
        </is>
      </c>
      <c r="C208" t="n">
        <v>49</v>
      </c>
      <c r="D208" t="n">
        <v>6</v>
      </c>
    </row>
    <row r="209">
      <c r="A209" t="inlineStr">
        <is>
          <t>Ochranné pomůcky</t>
        </is>
      </c>
      <c r="B209" t="inlineStr">
        <is>
          <t>Pracovní rukavice vel. 8 / 9 / 10 / 11</t>
        </is>
      </c>
      <c r="C209" t="n">
        <v>59</v>
      </c>
      <c r="D209" t="n">
        <v>30</v>
      </c>
      <c r="E209" t="inlineStr">
        <is>
          <t>celá řada velikostí</t>
        </is>
      </c>
    </row>
    <row r="210">
      <c r="A210" t="inlineStr">
        <is>
          <t>Ochranné pomůcky</t>
        </is>
      </c>
      <c r="B210" t="inlineStr">
        <is>
          <t>Rukavice profi 1+1</t>
        </is>
      </c>
      <c r="C210" t="n">
        <v>28</v>
      </c>
      <c r="D210" t="n">
        <v>5</v>
      </c>
    </row>
    <row r="211">
      <c r="A211" t="inlineStr">
        <is>
          <t>Ochranné pomůcky</t>
        </is>
      </c>
      <c r="B211" t="inlineStr">
        <is>
          <t>Jednorázové nitrilové rukavice (10 ks)</t>
        </is>
      </c>
      <c r="C211" t="n">
        <v>39</v>
      </c>
      <c r="D211" t="inlineStr">
        <is>
          <t>doplnit</t>
        </is>
      </c>
    </row>
    <row r="212">
      <c r="A212" t="inlineStr">
        <is>
          <t>Ochranné pomůcky</t>
        </is>
      </c>
      <c r="B212" t="inlineStr">
        <is>
          <t>Zátky do uší</t>
        </is>
      </c>
      <c r="C212" t="n">
        <v>10</v>
      </c>
      <c r="D212" t="n">
        <v>3</v>
      </c>
    </row>
    <row r="213">
      <c r="A213" t="inlineStr">
        <is>
          <t>Ochranné pomůcky</t>
        </is>
      </c>
      <c r="B213" t="inlineStr">
        <is>
          <t>Respirátor FFP2 (2 ks)</t>
        </is>
      </c>
      <c r="C213" t="n">
        <v>39</v>
      </c>
      <c r="D213" t="inlineStr">
        <is>
          <t>doplnit</t>
        </is>
      </c>
      <c r="E213" t="inlineStr">
        <is>
          <t>broušení, barvy</t>
        </is>
      </c>
    </row>
    <row r="214">
      <c r="A214" t="inlineStr">
        <is>
          <t>Ochranné pomůcky</t>
        </is>
      </c>
      <c r="B214" t="inlineStr">
        <is>
          <t>Ochranné brýle</t>
        </is>
      </c>
      <c r="C214" t="n">
        <v>49</v>
      </c>
      <c r="D214" t="inlineStr">
        <is>
          <t>doplnit</t>
        </is>
      </c>
    </row>
    <row r="215">
      <c r="A215" t="inlineStr">
        <is>
          <t>Technická chemie</t>
        </is>
      </c>
      <c r="B215" t="inlineStr">
        <is>
          <t>Ředidlo S6006 0,7 l</t>
        </is>
      </c>
      <c r="C215" t="n">
        <v>85</v>
      </c>
      <c r="D215" t="n">
        <v>21</v>
      </c>
      <c r="E215" t="inlineStr">
        <is>
          <t>hořlavina – ověřit požární předpisy</t>
        </is>
      </c>
    </row>
    <row r="216">
      <c r="A216" t="inlineStr">
        <is>
          <t>Technická chemie</t>
        </is>
      </c>
      <c r="B216" t="inlineStr">
        <is>
          <t>Ředidlo S6005 0,7 l</t>
        </is>
      </c>
      <c r="C216" t="n">
        <v>95</v>
      </c>
      <c r="D216" t="n">
        <v>12</v>
      </c>
    </row>
    <row r="217">
      <c r="A217" t="inlineStr">
        <is>
          <t>Technická chemie</t>
        </is>
      </c>
      <c r="B217" t="inlineStr">
        <is>
          <t>Nitroředidlo C6000 0,7 l</t>
        </is>
      </c>
      <c r="C217" t="n">
        <v>95</v>
      </c>
      <c r="D217" t="n">
        <v>9</v>
      </c>
    </row>
    <row r="218">
      <c r="A218" t="inlineStr">
        <is>
          <t>Technická chemie</t>
        </is>
      </c>
      <c r="B218" t="inlineStr">
        <is>
          <t>Líh technický 0,7 l</t>
        </is>
      </c>
      <c r="C218" t="n">
        <v>98</v>
      </c>
      <c r="D218" t="n">
        <v>7</v>
      </c>
    </row>
    <row r="219">
      <c r="A219" t="inlineStr">
        <is>
          <t>Technická chemie</t>
        </is>
      </c>
      <c r="B219" t="inlineStr">
        <is>
          <t>Lakový benzín 0,7 l</t>
        </is>
      </c>
      <c r="C219" t="n">
        <v>109</v>
      </c>
      <c r="D219" t="n">
        <v>4</v>
      </c>
    </row>
    <row r="220">
      <c r="A220" t="inlineStr">
        <is>
          <t>Technická chemie</t>
        </is>
      </c>
      <c r="B220" t="inlineStr">
        <is>
          <t>WD-40 / univerzální mazivo sprej 200 ml</t>
        </is>
      </c>
      <c r="C220" t="n">
        <v>129</v>
      </c>
      <c r="D220" t="inlineStr">
        <is>
          <t>doplnit</t>
        </is>
      </c>
    </row>
    <row r="221">
      <c r="A221" t="inlineStr">
        <is>
          <t>Technická chemie</t>
        </is>
      </c>
      <c r="B221" t="inlineStr">
        <is>
          <t>Odrezovač 0,5 l</t>
        </is>
      </c>
      <c r="C221" t="n">
        <v>112</v>
      </c>
      <c r="D221" t="n">
        <v>3</v>
      </c>
    </row>
    <row r="222">
      <c r="A222" t="inlineStr">
        <is>
          <t>Technická chemie</t>
        </is>
      </c>
      <c r="B222" t="inlineStr">
        <is>
          <t>Kyselina citronová 100 g</t>
        </is>
      </c>
      <c r="C222" t="n">
        <v>22</v>
      </c>
      <c r="D222" t="n">
        <v>6</v>
      </c>
    </row>
    <row r="223">
      <c r="A223" t="inlineStr">
        <is>
          <t>Technická chemie</t>
        </is>
      </c>
      <c r="B223" t="inlineStr">
        <is>
          <t>Vazelína bílá</t>
        </is>
      </c>
      <c r="C223" t="n">
        <v>195</v>
      </c>
      <c r="D223" t="n">
        <v>4</v>
      </c>
    </row>
    <row r="224">
      <c r="A224" t="inlineStr">
        <is>
          <t>Technická chemie</t>
        </is>
      </c>
      <c r="B224" t="inlineStr">
        <is>
          <t>Destilovaná voda 5 l</t>
        </is>
      </c>
      <c r="C224" t="n">
        <v>70</v>
      </c>
      <c r="D224" t="n">
        <v>6</v>
      </c>
    </row>
    <row r="225">
      <c r="A225" t="inlineStr">
        <is>
          <t>Technická chemie</t>
        </is>
      </c>
      <c r="B225" t="inlineStr">
        <is>
          <t>Nemrznoucí směs do ostřikovačů 3 l</t>
        </is>
      </c>
      <c r="C225" t="n">
        <v>99</v>
      </c>
      <c r="D225" t="inlineStr">
        <is>
          <t>doplnit</t>
        </is>
      </c>
      <c r="E225" t="inlineStr">
        <is>
          <t>sezónně</t>
        </is>
      </c>
    </row>
    <row r="226">
      <c r="A226" t="inlineStr">
        <is>
          <t>Hygiena</t>
        </is>
      </c>
      <c r="B226" t="inlineStr">
        <is>
          <t>Toaletní papír Jumbo / 8 rolí</t>
        </is>
      </c>
      <c r="C226" t="n">
        <v>39</v>
      </c>
      <c r="D226" t="n">
        <v>30</v>
      </c>
    </row>
    <row r="227">
      <c r="A227" t="inlineStr">
        <is>
          <t>Hygiena</t>
        </is>
      </c>
      <c r="B227" t="inlineStr">
        <is>
          <t>Papírové ručníky ZZ</t>
        </is>
      </c>
      <c r="C227" t="n">
        <v>45</v>
      </c>
      <c r="D227" t="n">
        <v>15</v>
      </c>
    </row>
    <row r="228">
      <c r="A228" t="inlineStr">
        <is>
          <t>Hygiena</t>
        </is>
      </c>
      <c r="B228" t="inlineStr">
        <is>
          <t>Kapesníky krabička 150 ks</t>
        </is>
      </c>
      <c r="C228" t="n">
        <v>38</v>
      </c>
      <c r="D228" t="n">
        <v>3</v>
      </c>
    </row>
    <row r="229">
      <c r="A229" t="inlineStr">
        <is>
          <t>Hygiena</t>
        </is>
      </c>
      <c r="B229" t="inlineStr">
        <is>
          <t>Kuchyňské utěrky 2 role</t>
        </is>
      </c>
      <c r="C229" t="n">
        <v>39</v>
      </c>
      <c r="D229" t="inlineStr">
        <is>
          <t>doplnit</t>
        </is>
      </c>
    </row>
    <row r="230">
      <c r="A230" t="inlineStr">
        <is>
          <t>Hubení škůdců</t>
        </is>
      </c>
      <c r="B230" t="inlineStr">
        <is>
          <t>Pastička na myši dřevo / kov</t>
        </is>
      </c>
      <c r="C230" t="n">
        <v>16</v>
      </c>
      <c r="D230" t="n">
        <v>12</v>
      </c>
    </row>
    <row r="231">
      <c r="A231" t="inlineStr">
        <is>
          <t>Hubení škůdců</t>
        </is>
      </c>
      <c r="B231" t="inlineStr">
        <is>
          <t>Nástraha na myši Ratimor 150 g</t>
        </is>
      </c>
      <c r="C231" t="n">
        <v>42</v>
      </c>
      <c r="D231" t="n">
        <v>8</v>
      </c>
      <c r="E231" t="inlineStr">
        <is>
          <t>balení pro veřejnost</t>
        </is>
      </c>
    </row>
    <row r="232">
      <c r="A232" t="inlineStr">
        <is>
          <t>Hubení škůdců</t>
        </is>
      </c>
      <c r="B232" t="inlineStr">
        <is>
          <t>Lepová deska na myši</t>
        </is>
      </c>
      <c r="C232" t="n">
        <v>35</v>
      </c>
      <c r="D232" t="n">
        <v>3</v>
      </c>
    </row>
    <row r="233">
      <c r="A233" t="inlineStr">
        <is>
          <t>Hubení škůdců</t>
        </is>
      </c>
      <c r="B233" t="inlineStr">
        <is>
          <t>Mucholapka</t>
        </is>
      </c>
      <c r="C233" t="n">
        <v>7</v>
      </c>
      <c r="D233" t="n">
        <v>4</v>
      </c>
    </row>
    <row r="234">
      <c r="A234" t="inlineStr">
        <is>
          <t>Hubení škůdců</t>
        </is>
      </c>
      <c r="B234" t="inlineStr">
        <is>
          <t>Feroset – lapač moučných molů</t>
        </is>
      </c>
      <c r="C234" t="n">
        <v>16</v>
      </c>
      <c r="D234" t="n">
        <v>8</v>
      </c>
    </row>
    <row r="235">
      <c r="A235" t="inlineStr">
        <is>
          <t>Hubení škůdců</t>
        </is>
      </c>
      <c r="B235" t="inlineStr">
        <is>
          <t>Sprej na vosy / hmyz (Biolit)</t>
        </is>
      </c>
      <c r="C235" t="n">
        <v>119</v>
      </c>
      <c r="D235" t="inlineStr">
        <is>
          <t>doplnit</t>
        </is>
      </c>
      <c r="E235" t="inlineStr">
        <is>
          <t>léto</t>
        </is>
      </c>
    </row>
    <row r="236">
      <c r="A236" t="inlineStr">
        <is>
          <t>Hubení škůdců</t>
        </is>
      </c>
      <c r="B236" t="inlineStr">
        <is>
          <t>Proti mravencům (Bioformatox)</t>
        </is>
      </c>
      <c r="C236" t="n">
        <v>109</v>
      </c>
      <c r="D236" t="n">
        <v>2</v>
      </c>
    </row>
    <row r="237">
      <c r="A237" t="inlineStr">
        <is>
          <t>Topení a zapalování</t>
        </is>
      </c>
      <c r="B237" t="inlineStr">
        <is>
          <t>Pepo pevný podpalovač 40 ks</t>
        </is>
      </c>
      <c r="C237" t="n">
        <v>35</v>
      </c>
      <c r="D237" t="n">
        <v>29</v>
      </c>
      <c r="E237" t="inlineStr">
        <is>
          <t>celoročně</t>
        </is>
      </c>
    </row>
    <row r="238">
      <c r="A238" t="inlineStr">
        <is>
          <t>Topení a zapalování</t>
        </is>
      </c>
      <c r="B238" t="inlineStr">
        <is>
          <t>Tekutý podpalovač 1 l</t>
        </is>
      </c>
      <c r="C238" t="n">
        <v>96</v>
      </c>
      <c r="D238" t="n">
        <v>3</v>
      </c>
    </row>
    <row r="239">
      <c r="A239" t="inlineStr">
        <is>
          <t>Topení a zapalování</t>
        </is>
      </c>
      <c r="B239" t="inlineStr">
        <is>
          <t>Zapalovač kuchyňský dlouhý</t>
        </is>
      </c>
      <c r="C239" t="n">
        <v>37</v>
      </c>
      <c r="D239" t="n">
        <v>3</v>
      </c>
    </row>
    <row r="240">
      <c r="A240" t="inlineStr">
        <is>
          <t>Topení a zapalování</t>
        </is>
      </c>
      <c r="B240" t="inlineStr">
        <is>
          <t>Zapalovače turbo (2 ks)</t>
        </is>
      </c>
      <c r="C240" t="n">
        <v>15</v>
      </c>
      <c r="D240" t="n">
        <v>4</v>
      </c>
    </row>
    <row r="241">
      <c r="A241" t="inlineStr">
        <is>
          <t>Topení a zapalování</t>
        </is>
      </c>
      <c r="B241" t="inlineStr">
        <is>
          <t>Zápalky (balení 10 krabiček)</t>
        </is>
      </c>
      <c r="C241" t="n">
        <v>25</v>
      </c>
      <c r="D241" t="n">
        <v>2</v>
      </c>
    </row>
    <row r="242">
      <c r="A242" t="inlineStr">
        <is>
          <t>Topení a zapalování</t>
        </is>
      </c>
      <c r="B242" t="inlineStr">
        <is>
          <t>Dřevěné uhlí 2,5 kg</t>
        </is>
      </c>
      <c r="C242" t="n">
        <v>112</v>
      </c>
      <c r="D242" t="n">
        <v>3</v>
      </c>
      <c r="E242" t="inlineStr">
        <is>
          <t>sezónně</t>
        </is>
      </c>
    </row>
    <row r="243">
      <c r="A243" t="inlineStr">
        <is>
          <t>Svíčky</t>
        </is>
      </c>
      <c r="B243" t="inlineStr">
        <is>
          <t>Hřbitovní patrona 120 g a 180 g</t>
        </is>
      </c>
      <c r="C243" t="n">
        <v>28</v>
      </c>
      <c r="D243" t="n">
        <v>18</v>
      </c>
    </row>
    <row r="244">
      <c r="A244" t="inlineStr">
        <is>
          <t>Svíčky</t>
        </is>
      </c>
      <c r="B244" t="inlineStr">
        <is>
          <t>Svíčka Theresia 4,5 dne</t>
        </is>
      </c>
      <c r="C244" t="n">
        <v>47</v>
      </c>
      <c r="D244" t="n">
        <v>3</v>
      </c>
    </row>
    <row r="245">
      <c r="A245" t="inlineStr">
        <is>
          <t>Svíčky</t>
        </is>
      </c>
      <c r="B245" t="inlineStr">
        <is>
          <t>Iluminační svíčky 10 ks</t>
        </is>
      </c>
      <c r="C245" t="n">
        <v>59</v>
      </c>
      <c r="D245" t="n">
        <v>3</v>
      </c>
    </row>
    <row r="246">
      <c r="A246" t="inlineStr">
        <is>
          <t>Svíčky</t>
        </is>
      </c>
      <c r="B246" t="inlineStr">
        <is>
          <t>Čajové svíčky 30 ks</t>
        </is>
      </c>
      <c r="C246" t="n">
        <v>49</v>
      </c>
      <c r="D246" t="inlineStr">
        <is>
          <t>doplnit</t>
        </is>
      </c>
    </row>
    <row r="247">
      <c r="A247" t="inlineStr">
        <is>
          <t>Domácnost</t>
        </is>
      </c>
      <c r="B247" t="inlineStr">
        <is>
          <t>Skřipce záclonové</t>
        </is>
      </c>
      <c r="C247" t="n">
        <v>6</v>
      </c>
      <c r="D247" t="n">
        <v>22</v>
      </c>
    </row>
    <row r="248">
      <c r="A248" t="inlineStr">
        <is>
          <t>Domácnost</t>
        </is>
      </c>
      <c r="B248" t="inlineStr">
        <is>
          <t>Háčky samolepicí</t>
        </is>
      </c>
      <c r="C248" t="n">
        <v>30</v>
      </c>
      <c r="D248" t="n">
        <v>5</v>
      </c>
    </row>
    <row r="249">
      <c r="A249" t="inlineStr">
        <is>
          <t>Domácnost</t>
        </is>
      </c>
      <c r="B249" t="inlineStr">
        <is>
          <t>Věšák nástěnný chrom</t>
        </is>
      </c>
      <c r="C249" t="n">
        <v>62</v>
      </c>
      <c r="D249" t="n">
        <v>10</v>
      </c>
    </row>
    <row r="250">
      <c r="A250" t="inlineStr">
        <is>
          <t>Domácnost</t>
        </is>
      </c>
      <c r="B250" t="inlineStr">
        <is>
          <t>Kolíčky na prádlo 24 ks</t>
        </is>
      </c>
      <c r="C250" t="n">
        <v>39</v>
      </c>
      <c r="D250" t="inlineStr">
        <is>
          <t>doplnit</t>
        </is>
      </c>
    </row>
    <row r="251">
      <c r="A251" t="inlineStr">
        <is>
          <t>Domácnost</t>
        </is>
      </c>
      <c r="B251" t="inlineStr">
        <is>
          <t>Prádelní šňůra 20 m</t>
        </is>
      </c>
      <c r="C251" t="n">
        <v>49</v>
      </c>
      <c r="D251" t="inlineStr">
        <is>
          <t>doplnit</t>
        </is>
      </c>
    </row>
    <row r="252">
      <c r="A252" t="inlineStr">
        <is>
          <t>Domácnost</t>
        </is>
      </c>
      <c r="B252" t="inlineStr">
        <is>
          <t>Provázek / polypropylenové lano 20 m</t>
        </is>
      </c>
      <c r="C252" t="n">
        <v>59</v>
      </c>
      <c r="D252" t="inlineStr">
        <is>
          <t>doplnit</t>
        </is>
      </c>
    </row>
    <row r="253">
      <c r="A253" t="inlineStr">
        <is>
          <t>Domácnost</t>
        </is>
      </c>
      <c r="B253" t="inlineStr">
        <is>
          <t>Kroužky na klíče + rozlišovače</t>
        </is>
      </c>
      <c r="C253" t="n">
        <v>4</v>
      </c>
      <c r="D253" t="n">
        <v>46</v>
      </c>
      <c r="E253" t="inlineStr">
        <is>
          <t>u pokladny</t>
        </is>
      </c>
    </row>
    <row r="254">
      <c r="A254" t="inlineStr">
        <is>
          <t>Domácnost</t>
        </is>
      </c>
      <c r="B254" t="inlineStr">
        <is>
          <t>Visací zámek 30 / 40 mm</t>
        </is>
      </c>
      <c r="C254" t="n">
        <v>129</v>
      </c>
      <c r="D254" t="inlineStr">
        <is>
          <t>doplnit</t>
        </is>
      </c>
    </row>
    <row r="255">
      <c r="A255" t="inlineStr">
        <is>
          <t>Domácnost</t>
        </is>
      </c>
      <c r="B255" t="inlineStr">
        <is>
          <t>Magnety 10 ks</t>
        </is>
      </c>
      <c r="C255" t="n">
        <v>50</v>
      </c>
      <c r="D255" t="n">
        <v>3</v>
      </c>
    </row>
    <row r="256">
      <c r="A256" t="inlineStr">
        <is>
          <t>Sezónní stojan (rotace)</t>
        </is>
      </c>
      <c r="B256" t="inlineStr">
        <is>
          <t>Semena zeleniny a květin (stojan)</t>
        </is>
      </c>
      <c r="C256" t="n">
        <v>25</v>
      </c>
      <c r="D256" t="n">
        <v>153</v>
      </c>
      <c r="E256" t="inlineStr">
        <is>
          <t>únor–květen, marže 40–100 %</t>
        </is>
      </c>
    </row>
    <row r="257">
      <c r="A257" t="inlineStr">
        <is>
          <t>Sezónní stojan (rotace)</t>
        </is>
      </c>
      <c r="B257" t="inlineStr">
        <is>
          <t>Barvy na vejce, obtisky</t>
        </is>
      </c>
      <c r="C257" t="n">
        <v>12</v>
      </c>
      <c r="D257" t="n">
        <v>15</v>
      </c>
      <c r="E257" t="inlineStr">
        <is>
          <t>březen–duben</t>
        </is>
      </c>
    </row>
    <row r="258">
      <c r="A258" t="inlineStr">
        <is>
          <t>Sezónní stojan (rotace)</t>
        </is>
      </c>
      <c r="B258" t="inlineStr">
        <is>
          <t>Zavařovací víčka Twist, špejle, střeva</t>
        </is>
      </c>
      <c r="C258" t="n">
        <v>40</v>
      </c>
      <c r="D258" t="n">
        <v>15</v>
      </c>
      <c r="E258" t="inlineStr">
        <is>
          <t>červenec–říjen</t>
        </is>
      </c>
    </row>
    <row r="259">
      <c r="A259" t="inlineStr">
        <is>
          <t>Sezónní stojan (rotace)</t>
        </is>
      </c>
      <c r="B259" t="inlineStr">
        <is>
          <t>Posypová sůl 5 kg, škrabka na led</t>
        </is>
      </c>
      <c r="C259" t="n">
        <v>79</v>
      </c>
      <c r="D259" t="inlineStr">
        <is>
          <t>doplnit</t>
        </is>
      </c>
      <c r="E259" t="inlineStr">
        <is>
          <t>listopad–únor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0" customWidth="1" min="3" max="3"/>
    <col width="16" customWidth="1" min="4" max="4"/>
    <col width="16" customWidth="1" min="5" max="5"/>
    <col width="18" customWidth="1" min="6" max="6"/>
    <col width="26" customWidth="1" min="7" max="7"/>
    <col width="80" customWidth="1" min="8" max="8"/>
  </cols>
  <sheetData>
    <row r="1">
      <c r="A1" s="1" t="inlineStr">
        <is>
          <t>Odhad poptávky mimo otevírací dobu (Po–Pá 7–17, So 8–11). Skóre je expertní, ne z dat – účtenkový export by ho nahradil skutečností.</t>
        </is>
      </c>
    </row>
    <row r="3">
      <c r="A3" s="2" t="inlineStr">
        <is>
          <t>Skupina</t>
        </is>
      </c>
      <c r="B3" s="2" t="inlineStr">
        <is>
          <t>Naléhavost</t>
        </is>
      </c>
      <c r="C3" s="2" t="inlineStr">
        <is>
          <t>Víkend</t>
        </is>
      </c>
      <c r="D3" s="2" t="inlineStr">
        <is>
          <t>Podíl mimo dobu</t>
        </is>
      </c>
      <c r="E3" s="2" t="inlineStr">
        <is>
          <t>ks/měs Solnice</t>
        </is>
      </c>
      <c r="F3" s="2" t="inlineStr">
        <is>
          <t>ks/měs mimo dobu</t>
        </is>
      </c>
      <c r="G3" s="2" t="inlineStr">
        <is>
          <t>Obrat mimo dobu Kč bez DPH</t>
        </is>
      </c>
      <c r="H3" s="2" t="inlineStr">
        <is>
          <t>Proč</t>
        </is>
      </c>
    </row>
    <row r="4">
      <c r="A4" t="inlineStr">
        <is>
          <t>Lepidla, tmely, silikony, PU pěny</t>
        </is>
      </c>
      <c r="B4" t="n">
        <v>4</v>
      </c>
      <c r="C4" t="n">
        <v>4</v>
      </c>
      <c r="D4" t="n">
        <v>0.5</v>
      </c>
      <c r="E4" t="n">
        <v>358</v>
      </c>
      <c r="F4" t="n">
        <v>179</v>
      </c>
      <c r="G4" t="n">
        <v>17900</v>
      </c>
      <c r="H4" t="inlineStr">
        <is>
          <t>Rozbité, odlepené, zatéká. Zároveň nutné pro víkendovou opravu.</t>
        </is>
      </c>
    </row>
    <row r="5">
      <c r="A5" t="inlineStr">
        <is>
          <t>Malířské potřeby</t>
        </is>
      </c>
      <c r="B5" t="n">
        <v>2</v>
      </c>
      <c r="C5" t="n">
        <v>5</v>
      </c>
      <c r="D5" t="n">
        <v>0.42</v>
      </c>
      <c r="E5" t="n">
        <v>771</v>
      </c>
      <c r="F5" t="n">
        <v>324</v>
      </c>
      <c r="G5" t="n">
        <v>11240</v>
      </c>
      <c r="H5" t="inlineStr">
        <is>
          <t>Fólie, štětce, brusivo, válečky. Kupuje se v pátek večer a v sobotu ráno před malováním.</t>
        </is>
      </c>
    </row>
    <row r="6">
      <c r="A6" t="inlineStr">
        <is>
          <t>Vodoinstalace a hadice</t>
        </is>
      </c>
      <c r="B6" t="n">
        <v>5</v>
      </c>
      <c r="C6" t="n">
        <v>3</v>
      </c>
      <c r="D6" t="n">
        <v>0.52</v>
      </c>
      <c r="E6" t="n">
        <v>420</v>
      </c>
      <c r="F6" t="n">
        <v>218</v>
      </c>
      <c r="G6" t="n">
        <v>8844</v>
      </c>
      <c r="H6" t="inlineStr">
        <is>
          <t>Prasklá hadice, teče spoj. Havárie nečeká do pondělí.</t>
        </is>
      </c>
    </row>
    <row r="7">
      <c r="A7" t="inlineStr">
        <is>
          <t>Úklid a čisticí prostředky</t>
        </is>
      </c>
      <c r="B7" t="n">
        <v>3</v>
      </c>
      <c r="C7" t="n">
        <v>3</v>
      </c>
      <c r="D7" t="n">
        <v>0.4</v>
      </c>
      <c r="E7" t="n">
        <v>314</v>
      </c>
      <c r="F7" t="n">
        <v>126</v>
      </c>
      <c r="G7" t="n">
        <v>6955</v>
      </c>
      <c r="H7" t="inlineStr">
        <is>
          <t>Došlo Savo, pytle, houbičky. Uklízí se hlavně o víkendu.</t>
        </is>
      </c>
    </row>
    <row r="8">
      <c r="A8" t="inlineStr">
        <is>
          <t>Nátěrové hmoty (barvy na zeď)</t>
        </is>
      </c>
      <c r="B8" t="n">
        <v>2</v>
      </c>
      <c r="C8" t="n">
        <v>5</v>
      </c>
      <c r="D8" t="n">
        <v>0.42</v>
      </c>
      <c r="E8" t="n">
        <v>54</v>
      </c>
      <c r="F8" t="n">
        <v>23</v>
      </c>
      <c r="G8" t="n">
        <v>6767</v>
      </c>
      <c r="H8" t="inlineStr">
        <is>
          <t>Malování je víkendová akce. Chybí-li barva v sobotu, projekt stojí.</t>
        </is>
      </c>
    </row>
    <row r="9">
      <c r="A9" t="inlineStr">
        <is>
          <t>Ředidla a technická chemie</t>
        </is>
      </c>
      <c r="B9" t="n">
        <v>2</v>
      </c>
      <c r="C9" t="n">
        <v>4</v>
      </c>
      <c r="D9" t="n">
        <v>0.38</v>
      </c>
      <c r="E9" t="n">
        <v>190</v>
      </c>
      <c r="F9" t="n">
        <v>72</v>
      </c>
      <c r="G9" t="n">
        <v>6444</v>
      </c>
      <c r="H9" t="inlineStr">
        <is>
          <t>Ředidlo a líh k víkendovému natírání a čištění.</t>
        </is>
      </c>
    </row>
    <row r="10">
      <c r="A10" t="inlineStr">
        <is>
          <t>Elektroinstalační drobný materiál</t>
        </is>
      </c>
      <c r="B10" t="n">
        <v>4</v>
      </c>
      <c r="C10" t="n">
        <v>3</v>
      </c>
      <c r="D10" t="n">
        <v>0.46</v>
      </c>
      <c r="E10" t="n">
        <v>328</v>
      </c>
      <c r="F10" t="n">
        <v>151</v>
      </c>
      <c r="G10" t="n">
        <v>6235</v>
      </c>
      <c r="H10" t="inlineStr">
        <is>
          <t>Vyhozená pojistka, utržená vidlice, prodlužovačka.</t>
        </is>
      </c>
    </row>
    <row r="11">
      <c r="A11" t="inlineStr">
        <is>
          <t>Lepicí a maskovací pásky</t>
        </is>
      </c>
      <c r="B11" t="n">
        <v>3</v>
      </c>
      <c r="C11" t="n">
        <v>5</v>
      </c>
      <c r="D11" t="n">
        <v>0.48</v>
      </c>
      <c r="E11" t="n">
        <v>256</v>
      </c>
      <c r="F11" t="n">
        <v>123</v>
      </c>
      <c r="G11" t="n">
        <v>5382</v>
      </c>
      <c r="H11" t="inlineStr">
        <is>
          <t>Bez maskovací pásky se nedá malovat, bez izolepy dodělat oprava.</t>
        </is>
      </c>
    </row>
    <row r="12">
      <c r="A12" t="inlineStr">
        <is>
          <t>Ruční nářadí a měřidla</t>
        </is>
      </c>
      <c r="B12" t="n">
        <v>3</v>
      </c>
      <c r="C12" t="n">
        <v>4</v>
      </c>
      <c r="D12" t="n">
        <v>0.44</v>
      </c>
      <c r="E12" t="n">
        <v>125</v>
      </c>
      <c r="F12" t="n">
        <v>55</v>
      </c>
      <c r="G12" t="n">
        <v>4818</v>
      </c>
      <c r="H12" t="inlineStr">
        <is>
          <t>Zlomená čepel, ztracený metr, chybí šroubovák.</t>
        </is>
      </c>
    </row>
    <row r="13">
      <c r="A13" t="inlineStr">
        <is>
          <t>Baterie</t>
        </is>
      </c>
      <c r="B13" t="n">
        <v>5</v>
      </c>
      <c r="C13" t="n">
        <v>2</v>
      </c>
      <c r="D13" t="n">
        <v>0.48</v>
      </c>
      <c r="E13" t="n">
        <v>389</v>
      </c>
      <c r="F13" t="n">
        <v>187</v>
      </c>
      <c r="G13" t="n">
        <v>3549</v>
      </c>
      <c r="H13" t="inlineStr">
        <is>
          <t>Vybité ovladače, hlásiče, hračky, svítilny. Klasický večerní a nedělní nákup.</t>
        </is>
      </c>
    </row>
    <row r="14">
      <c r="A14" t="inlineStr">
        <is>
          <t>Ochranné pomůcky</t>
        </is>
      </c>
      <c r="B14" t="n">
        <v>3</v>
      </c>
      <c r="C14" t="n">
        <v>4</v>
      </c>
      <c r="D14" t="n">
        <v>0.44</v>
      </c>
      <c r="E14" t="n">
        <v>88</v>
      </c>
      <c r="F14" t="n">
        <v>39</v>
      </c>
      <c r="G14" t="n">
        <v>3520</v>
      </c>
      <c r="H14" t="inlineStr">
        <is>
          <t>Rukavice, brýle, respirátor k víkendové práci.</t>
        </is>
      </c>
    </row>
    <row r="15">
      <c r="A15" t="inlineStr">
        <is>
          <t>Stavební chemie a sádra</t>
        </is>
      </c>
      <c r="B15" t="n">
        <v>2</v>
      </c>
      <c r="C15" t="n">
        <v>4</v>
      </c>
      <c r="D15" t="n">
        <v>0.38</v>
      </c>
      <c r="E15" t="n">
        <v>67</v>
      </c>
      <c r="F15" t="n">
        <v>25</v>
      </c>
      <c r="G15" t="n">
        <v>3303</v>
      </c>
      <c r="H15" t="inlineStr">
        <is>
          <t>Sádra k zaplácnutí díry, lepidlo na obklady.</t>
        </is>
      </c>
    </row>
    <row r="16">
      <c r="A16" t="inlineStr">
        <is>
          <t>Kabely a vodiče</t>
        </is>
      </c>
      <c r="B16" t="n">
        <v>3</v>
      </c>
      <c r="C16" t="n">
        <v>3</v>
      </c>
      <c r="D16" t="n">
        <v>0.4</v>
      </c>
      <c r="E16" t="n">
        <v>300</v>
      </c>
      <c r="F16" t="n">
        <v>120</v>
      </c>
      <c r="G16" t="n">
        <v>3273</v>
      </c>
      <c r="H16" t="inlineStr">
        <is>
          <t>Prodlužovačka a kabel k opravě.</t>
        </is>
      </c>
    </row>
    <row r="17">
      <c r="A17" t="inlineStr">
        <is>
          <t>Žárovky a světelné zdroje</t>
        </is>
      </c>
      <c r="B17" t="n">
        <v>5</v>
      </c>
      <c r="C17" t="n">
        <v>2</v>
      </c>
      <c r="D17" t="n">
        <v>0.48</v>
      </c>
      <c r="E17" t="n">
        <v>142</v>
      </c>
      <c r="F17" t="n">
        <v>68</v>
      </c>
      <c r="G17" t="n">
        <v>2929</v>
      </c>
      <c r="H17" t="inlineStr">
        <is>
          <t>Přestane svítit večer. Nákup nesnese odklad a nedá se odložit na pracovní den.</t>
        </is>
      </c>
    </row>
    <row r="18">
      <c r="A18" t="inlineStr">
        <is>
          <t>Spojovací materiál</t>
        </is>
      </c>
      <c r="B18" t="n">
        <v>3</v>
      </c>
      <c r="C18" t="n">
        <v>5</v>
      </c>
      <c r="D18" t="n">
        <v>0.48</v>
      </c>
      <c r="E18" t="n">
        <v>174</v>
      </c>
      <c r="F18" t="n">
        <v>84</v>
      </c>
      <c r="G18" t="n">
        <v>2761</v>
      </c>
      <c r="H18" t="inlineStr">
        <is>
          <t>Došly vruty nebo hmoždinky uprostřed víkendové práce. Typický dokup.</t>
        </is>
      </c>
    </row>
    <row r="19">
      <c r="A19" t="inlineStr">
        <is>
          <t>Semena a ochrana rostlin</t>
        </is>
      </c>
      <c r="B19" t="n">
        <v>1</v>
      </c>
      <c r="C19" t="n">
        <v>5</v>
      </c>
      <c r="D19" t="n">
        <v>0.36</v>
      </c>
      <c r="E19" t="n">
        <v>190</v>
      </c>
      <c r="F19" t="n">
        <v>68</v>
      </c>
      <c r="G19" t="n">
        <v>2035</v>
      </c>
      <c r="H19" t="inlineStr">
        <is>
          <t>Sází se o víkendu, sezónní špička únor–květen.</t>
        </is>
      </c>
    </row>
    <row r="20">
      <c r="A20" t="inlineStr">
        <is>
          <t>Domácnost (věšáky, šňůry, háčky)</t>
        </is>
      </c>
      <c r="B20" t="n">
        <v>2</v>
      </c>
      <c r="C20" t="n">
        <v>3</v>
      </c>
      <c r="D20" t="n">
        <v>0.34</v>
      </c>
      <c r="E20" t="n">
        <v>138</v>
      </c>
      <c r="F20" t="n">
        <v>47</v>
      </c>
      <c r="G20" t="n">
        <v>1745</v>
      </c>
      <c r="H20" t="inlineStr">
        <is>
          <t>Drobné doplňky k úklidu a zabydlení.</t>
        </is>
      </c>
    </row>
    <row r="21">
      <c r="A21" t="inlineStr">
        <is>
          <t>Podpalovače, topení, zapalování</t>
        </is>
      </c>
      <c r="B21" t="n">
        <v>4</v>
      </c>
      <c r="C21" t="n">
        <v>3</v>
      </c>
      <c r="D21" t="n">
        <v>0.46</v>
      </c>
      <c r="E21" t="n">
        <v>65</v>
      </c>
      <c r="F21" t="n">
        <v>30</v>
      </c>
      <c r="G21" t="n">
        <v>1236</v>
      </c>
      <c r="H21" t="inlineStr">
        <is>
          <t>Podpalovač a zapalovač dojdou v sobotu večer, topí se i v neděli.</t>
        </is>
      </c>
    </row>
    <row r="22">
      <c r="A22" t="inlineStr">
        <is>
          <t>Hubení škůdců</t>
        </is>
      </c>
      <c r="B22" t="n">
        <v>4</v>
      </c>
      <c r="C22" t="n">
        <v>2</v>
      </c>
      <c r="D22" t="n">
        <v>0.42</v>
      </c>
      <c r="E22" t="n">
        <v>68</v>
      </c>
      <c r="F22" t="n">
        <v>29</v>
      </c>
      <c r="G22" t="n">
        <v>1157</v>
      </c>
      <c r="H22" t="inlineStr">
        <is>
          <t>Myš v domě nebo vosy se neřeší za tři dny.</t>
        </is>
      </c>
    </row>
    <row r="23">
      <c r="A23" t="inlineStr">
        <is>
          <t>Hygiena a papírové zboží</t>
        </is>
      </c>
      <c r="B23" t="n">
        <v>4</v>
      </c>
      <c r="C23" t="n">
        <v>1</v>
      </c>
      <c r="D23" t="n">
        <v>0.38</v>
      </c>
      <c r="E23" t="n">
        <v>101</v>
      </c>
      <c r="F23" t="n">
        <v>38</v>
      </c>
      <c r="G23" t="n">
        <v>1047</v>
      </c>
      <c r="H23" t="inlineStr">
        <is>
          <t>Došel toaletní papír. Nejbanálnější nouzový nákup.</t>
        </is>
      </c>
    </row>
    <row r="24">
      <c r="A24" t="inlineStr">
        <is>
          <t>Papírnictví</t>
        </is>
      </c>
      <c r="B24" t="n">
        <v>2</v>
      </c>
      <c r="C24" t="n">
        <v>2</v>
      </c>
      <c r="D24" t="n">
        <v>0.3</v>
      </c>
      <c r="E24" t="n">
        <v>82</v>
      </c>
      <c r="F24" t="n">
        <v>25</v>
      </c>
      <c r="G24" t="n">
        <v>813</v>
      </c>
      <c r="H24" t="inlineStr">
        <is>
          <t>Popisovač, sáčky. Doplňkový nákup.</t>
        </is>
      </c>
    </row>
    <row r="25">
      <c r="A25" t="inlineStr">
        <is>
          <t>Svíčky a hřbitovní zboží</t>
        </is>
      </c>
      <c r="B25" t="n">
        <v>2</v>
      </c>
      <c r="C25" t="n">
        <v>4</v>
      </c>
      <c r="D25" t="n">
        <v>0.38</v>
      </c>
      <c r="E25" t="n">
        <v>42</v>
      </c>
      <c r="F25" t="n">
        <v>16</v>
      </c>
      <c r="G25" t="n">
        <v>514</v>
      </c>
      <c r="H25" t="inlineStr">
        <is>
          <t>Návštěva hřbitova je nedělní a svátek (Dušičky, Vánoce), kdy je zavřeno.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0" customWidth="1" min="4" max="4"/>
    <col width="10" customWidth="1" min="5" max="5"/>
    <col width="20" customWidth="1" min="6" max="6"/>
    <col width="20" customWidth="1" min="7" max="7"/>
    <col width="20" customWidth="1" min="8" max="8"/>
    <col width="15" customWidth="1" min="9" max="9"/>
    <col width="12" customWidth="1" min="10" max="10"/>
    <col width="18" customWidth="1" min="11" max="11"/>
    <col width="15" customWidth="1" min="12" max="12"/>
    <col width="10" customWidth="1" min="13" max="13"/>
    <col width="14" customWidth="1" min="14" max="14"/>
    <col width="15" customWidth="1" min="15" max="15"/>
    <col width="60" customWidth="1" min="16" max="16"/>
  </cols>
  <sheetData>
    <row r="1">
      <c r="A1" t="inlineStr">
        <is>
          <t>Produktová skupina</t>
        </is>
      </c>
      <c r="B1" t="inlineStr">
        <is>
          <t>SKU_celkem</t>
        </is>
      </c>
      <c r="C1" t="inlineStr">
        <is>
          <t>SKU_aktivní</t>
        </is>
      </c>
      <c r="D1" t="inlineStr">
        <is>
          <t>ks_2025</t>
        </is>
      </c>
      <c r="E1" t="inlineStr">
        <is>
          <t>ks_2024</t>
        </is>
      </c>
      <c r="F1" t="inlineStr">
        <is>
          <t>obrat_2025</t>
        </is>
      </c>
      <c r="G1" t="inlineStr">
        <is>
          <t>obrat_2024</t>
        </is>
      </c>
      <c r="H1" t="inlineStr">
        <is>
          <t>zisk_2025</t>
        </is>
      </c>
      <c r="I1" t="inlineStr">
        <is>
          <t>ks_měsíc_prům</t>
        </is>
      </c>
      <c r="J1" t="inlineStr">
        <is>
          <t>podíl_ks_%</t>
        </is>
      </c>
      <c r="K1" t="inlineStr">
        <is>
          <t>obrat_měsíc_prům</t>
        </is>
      </c>
      <c r="L1" t="inlineStr">
        <is>
          <t>podíl_obrat_%</t>
        </is>
      </c>
      <c r="M1" t="inlineStr">
        <is>
          <t>marže_%</t>
        </is>
      </c>
      <c r="N1" t="inlineStr">
        <is>
          <t>prům_cena_Kč</t>
        </is>
      </c>
      <c r="O1" t="inlineStr">
        <is>
          <t>vhodnost_24/7</t>
        </is>
      </c>
      <c r="P1" t="inlineStr">
        <is>
          <t>komentář</t>
        </is>
      </c>
    </row>
    <row r="2">
      <c r="A2" t="inlineStr">
        <is>
          <t>Baterie</t>
        </is>
      </c>
      <c r="B2" t="n">
        <v>495</v>
      </c>
      <c r="C2" t="n">
        <v>42</v>
      </c>
      <c r="D2" t="n">
        <v>331</v>
      </c>
      <c r="E2" t="n">
        <v>447</v>
      </c>
      <c r="F2" t="n">
        <v>9441.5412</v>
      </c>
      <c r="G2" t="n">
        <v>8381.830599999999</v>
      </c>
      <c r="H2" t="n">
        <v>4758.9412</v>
      </c>
      <c r="I2" t="n">
        <v>389</v>
      </c>
      <c r="J2" t="n">
        <v>6.7</v>
      </c>
      <c r="K2" t="n">
        <v>8912</v>
      </c>
      <c r="L2" t="n">
        <v>1.8</v>
      </c>
      <c r="M2" t="n">
        <v>50</v>
      </c>
      <c r="N2" t="n">
        <v>23</v>
      </c>
      <c r="O2" t="n">
        <v>5</v>
      </c>
      <c r="P2" t="inlineStr">
        <is>
          <t>Nouzový nákup, nízká cena, dlouhá trvanlivost, minimální prostor. Drobné zboží – umístit do zorného pole kamery.</t>
        </is>
      </c>
    </row>
    <row r="3">
      <c r="A3" t="inlineStr">
        <is>
          <t>Lepicí a maskovací pásky</t>
        </is>
      </c>
      <c r="B3" t="n">
        <v>217</v>
      </c>
      <c r="C3" t="n">
        <v>94</v>
      </c>
      <c r="D3" t="n">
        <v>207</v>
      </c>
      <c r="E3" t="n">
        <v>306</v>
      </c>
      <c r="F3" t="n">
        <v>11308.1602</v>
      </c>
      <c r="G3" t="n">
        <v>15824.2293</v>
      </c>
      <c r="H3" t="n">
        <v>5252.7802</v>
      </c>
      <c r="I3" t="n">
        <v>256</v>
      </c>
      <c r="J3" t="n">
        <v>4.4</v>
      </c>
      <c r="K3" t="n">
        <v>13566</v>
      </c>
      <c r="L3" t="n">
        <v>2.7</v>
      </c>
      <c r="M3" t="n">
        <v>46</v>
      </c>
      <c r="N3" t="n">
        <v>53</v>
      </c>
      <c r="O3" t="n">
        <v>5</v>
      </c>
      <c r="P3" t="inlineStr">
        <is>
          <t>Vysoká frekvence i marže (140 %+ u TX pásek), bez poradenství, netrvanlivost neřeší.</t>
        </is>
      </c>
    </row>
    <row r="4">
      <c r="A4" t="inlineStr">
        <is>
          <t>Žárovky a světelné zdroje</t>
        </is>
      </c>
      <c r="B4" t="n">
        <v>1570</v>
      </c>
      <c r="C4" t="n">
        <v>85</v>
      </c>
      <c r="D4" t="n">
        <v>158</v>
      </c>
      <c r="E4" t="n">
        <v>127</v>
      </c>
      <c r="F4" t="n">
        <v>6620.859899999999</v>
      </c>
      <c r="G4" t="n">
        <v>8201.039500000001</v>
      </c>
      <c r="H4" t="n">
        <v>3159.9999</v>
      </c>
      <c r="I4" t="n">
        <v>142</v>
      </c>
      <c r="J4" t="n">
        <v>2.4</v>
      </c>
      <c r="K4" t="n">
        <v>7411</v>
      </c>
      <c r="L4" t="n">
        <v>1.5</v>
      </c>
      <c r="M4" t="n">
        <v>48</v>
      </c>
      <c r="N4" t="n">
        <v>52</v>
      </c>
      <c r="O4" t="n">
        <v>5</v>
      </c>
      <c r="P4" t="inlineStr">
        <is>
          <t>Typický večerní/víkendový nouzový nákup. Omezit na 15–20 nejběžnějších patic (E27, E14, G9, GU10) + LED.</t>
        </is>
      </c>
    </row>
    <row r="5">
      <c r="A5" t="inlineStr">
        <is>
          <t>Malířské potřeby (štětce, válečky, fólie, brusivo)</t>
        </is>
      </c>
      <c r="B5" t="n">
        <v>569</v>
      </c>
      <c r="C5" t="n">
        <v>277</v>
      </c>
      <c r="D5" t="n">
        <v>700</v>
      </c>
      <c r="E5" t="n">
        <v>841.5</v>
      </c>
      <c r="F5" t="n">
        <v>31960.6809</v>
      </c>
      <c r="G5" t="n">
        <v>32291.1702</v>
      </c>
      <c r="H5" t="n">
        <v>-189.2591</v>
      </c>
      <c r="I5" t="n">
        <v>771</v>
      </c>
      <c r="J5" t="n">
        <v>13.3</v>
      </c>
      <c r="K5" t="n">
        <v>32126</v>
      </c>
      <c r="L5" t="n">
        <v>6.4</v>
      </c>
      <c r="M5" t="n">
        <v>41</v>
      </c>
      <c r="N5" t="n">
        <v>42</v>
      </c>
      <c r="O5" t="n">
        <v>4</v>
      </c>
      <c r="P5" t="inlineStr">
        <is>
          <t>Nejprodávanější skupina v kusech. Fólie, štětce, válečky, brusné papíry. Zkontrolovat nákupní ceny (v datech je několik položek se zápornou marží).</t>
        </is>
      </c>
    </row>
    <row r="6">
      <c r="A6" t="inlineStr">
        <is>
          <t>Vodoinstalace a hadice</t>
        </is>
      </c>
      <c r="B6" t="n">
        <v>572</v>
      </c>
      <c r="C6" t="n">
        <v>191</v>
      </c>
      <c r="D6" t="n">
        <v>405</v>
      </c>
      <c r="E6" t="n">
        <v>434</v>
      </c>
      <c r="F6" t="n">
        <v>18713.8601</v>
      </c>
      <c r="G6" t="n">
        <v>22768.5702</v>
      </c>
      <c r="H6" t="n">
        <v>7093.6601</v>
      </c>
      <c r="I6" t="n">
        <v>420</v>
      </c>
      <c r="J6" t="n">
        <v>7.2</v>
      </c>
      <c r="K6" t="n">
        <v>20741</v>
      </c>
      <c r="L6" t="n">
        <v>4.1</v>
      </c>
      <c r="M6" t="n">
        <v>38</v>
      </c>
      <c r="N6" t="n">
        <v>49</v>
      </c>
      <c r="O6" t="n">
        <v>4</v>
      </c>
      <c r="P6" t="inlineStr">
        <is>
          <t>Havarijní nákup (praská hadice, teče spoj). Objímky, hadicové spony, PPR fitinky 20–25 mm, těsnění, teflon. Bez velkých trubek.</t>
        </is>
      </c>
    </row>
    <row r="7">
      <c r="A7" t="inlineStr">
        <is>
          <t>Lepidla, tmely, silikony, PU pěny</t>
        </is>
      </c>
      <c r="B7" t="n">
        <v>422</v>
      </c>
      <c r="C7" t="n">
        <v>231</v>
      </c>
      <c r="D7" t="n">
        <v>359</v>
      </c>
      <c r="E7" t="n">
        <v>358</v>
      </c>
      <c r="F7" t="n">
        <v>42068.6599</v>
      </c>
      <c r="G7" t="n">
        <v>44722.7805</v>
      </c>
      <c r="H7" t="n">
        <v>12749.5299</v>
      </c>
      <c r="I7" t="n">
        <v>358</v>
      </c>
      <c r="J7" t="n">
        <v>6.2</v>
      </c>
      <c r="K7" t="n">
        <v>43396</v>
      </c>
      <c r="L7" t="n">
        <v>8.699999999999999</v>
      </c>
      <c r="M7" t="n">
        <v>30</v>
      </c>
      <c r="N7" t="n">
        <v>121</v>
      </c>
      <c r="O7" t="n">
        <v>4</v>
      </c>
      <c r="P7" t="inlineStr">
        <is>
          <t>Mamut, sekundová lepidla, sanitární silikon, akryl, pěna. Střední cena (100–200 Kč), dobrá marže.</t>
        </is>
      </c>
    </row>
    <row r="8">
      <c r="A8" t="inlineStr">
        <is>
          <t>Elektroinstalační drobný materiál</t>
        </is>
      </c>
      <c r="B8" t="n">
        <v>773</v>
      </c>
      <c r="C8" t="n">
        <v>134</v>
      </c>
      <c r="D8" t="n">
        <v>315</v>
      </c>
      <c r="E8" t="n">
        <v>342</v>
      </c>
      <c r="F8" t="n">
        <v>14546.581</v>
      </c>
      <c r="G8" t="n">
        <v>18233.5701</v>
      </c>
      <c r="H8" t="n">
        <v>5233.181</v>
      </c>
      <c r="I8" t="n">
        <v>328</v>
      </c>
      <c r="J8" t="n">
        <v>5.7</v>
      </c>
      <c r="K8" t="n">
        <v>16390</v>
      </c>
      <c r="L8" t="n">
        <v>3.3</v>
      </c>
      <c r="M8" t="n">
        <v>36</v>
      </c>
      <c r="N8" t="n">
        <v>50</v>
      </c>
      <c r="O8" t="n">
        <v>4</v>
      </c>
      <c r="P8" t="inlineStr">
        <is>
          <t>WAGO svorky, pojistky, vidlice, zásuvky, krabice – běžné položky nevyžadují radu. Vynechat drahé jističe a přístroje.</t>
        </is>
      </c>
    </row>
    <row r="9">
      <c r="A9" t="inlineStr">
        <is>
          <t>Úklid a čisticí prostředky</t>
        </is>
      </c>
      <c r="B9" t="n">
        <v>903</v>
      </c>
      <c r="C9" t="n">
        <v>268</v>
      </c>
      <c r="D9" t="n">
        <v>313</v>
      </c>
      <c r="E9" t="n">
        <v>315</v>
      </c>
      <c r="F9" t="n">
        <v>19826.9998</v>
      </c>
      <c r="G9" t="n">
        <v>22458.9701</v>
      </c>
      <c r="H9" t="n">
        <v>7110.5898</v>
      </c>
      <c r="I9" t="n">
        <v>314</v>
      </c>
      <c r="J9" t="n">
        <v>5.4</v>
      </c>
      <c r="K9" t="n">
        <v>21143</v>
      </c>
      <c r="L9" t="n">
        <v>4.2</v>
      </c>
      <c r="M9" t="n">
        <v>36</v>
      </c>
      <c r="N9" t="n">
        <v>67</v>
      </c>
      <c r="O9" t="n">
        <v>4</v>
      </c>
      <c r="P9" t="inlineStr">
        <is>
          <t>Savo, Domestos, pytle na odpad, houbičky, Solvina. Objemnější, nižší marže – vybrat jen top 30 položek.</t>
        </is>
      </c>
    </row>
    <row r="10">
      <c r="A10" t="inlineStr">
        <is>
          <t>Semena, hnojiva, ochrana rostlin</t>
        </is>
      </c>
      <c r="B10" t="n">
        <v>71</v>
      </c>
      <c r="C10" t="n">
        <v>30</v>
      </c>
      <c r="D10" t="n">
        <v>173</v>
      </c>
      <c r="E10" t="n">
        <v>208</v>
      </c>
      <c r="F10" t="n">
        <v>5264.97</v>
      </c>
      <c r="G10" t="n">
        <v>8375.8902</v>
      </c>
      <c r="H10" t="n">
        <v>2172.55</v>
      </c>
      <c r="I10" t="n">
        <v>190</v>
      </c>
      <c r="J10" t="n">
        <v>3.3</v>
      </c>
      <c r="K10" t="n">
        <v>6820</v>
      </c>
      <c r="L10" t="n">
        <v>1.4</v>
      </c>
      <c r="M10" t="n">
        <v>41</v>
      </c>
      <c r="N10" t="n">
        <v>36</v>
      </c>
      <c r="O10" t="n">
        <v>4</v>
      </c>
      <c r="P10" t="inlineStr">
        <is>
          <t>Sezónní stojan (únor–květen). Semena 19–42 Kč s marží 40–100 %, minimální prostor. Mimo sezónu nahradit jiným stojanem.</t>
        </is>
      </c>
    </row>
    <row r="11">
      <c r="A11" t="inlineStr">
        <is>
          <t>Ochranné pomůcky</t>
        </is>
      </c>
      <c r="B11" t="n">
        <v>139</v>
      </c>
      <c r="C11" t="n">
        <v>53</v>
      </c>
      <c r="D11" t="n">
        <v>80</v>
      </c>
      <c r="E11" t="n">
        <v>95</v>
      </c>
      <c r="F11" t="n">
        <v>10294.73</v>
      </c>
      <c r="G11" t="n">
        <v>9130.719999999999</v>
      </c>
      <c r="H11" t="n">
        <v>4039.09</v>
      </c>
      <c r="I11" t="n">
        <v>88</v>
      </c>
      <c r="J11" t="n">
        <v>1.5</v>
      </c>
      <c r="K11" t="n">
        <v>9713</v>
      </c>
      <c r="L11" t="n">
        <v>1.9</v>
      </c>
      <c r="M11" t="n">
        <v>39</v>
      </c>
      <c r="N11" t="n">
        <v>110</v>
      </c>
      <c r="O11" t="n">
        <v>4</v>
      </c>
      <c r="P11" t="inlineStr">
        <is>
          <t>Pracovní rukavice 28–65 Kč, zátky do uší, respirátory. Vysoká frekvence, bez poradenství.</t>
        </is>
      </c>
    </row>
    <row r="12">
      <c r="A12" t="inlineStr">
        <is>
          <t>Hubení škůdců</t>
        </is>
      </c>
      <c r="B12" t="n">
        <v>80</v>
      </c>
      <c r="C12" t="n">
        <v>32</v>
      </c>
      <c r="D12" t="n">
        <v>58</v>
      </c>
      <c r="E12" t="n">
        <v>78</v>
      </c>
      <c r="F12" t="n">
        <v>2536.1798</v>
      </c>
      <c r="G12" t="n">
        <v>4157.329900000001</v>
      </c>
      <c r="H12" t="n">
        <v>886.4897999999999</v>
      </c>
      <c r="I12" t="n">
        <v>68</v>
      </c>
      <c r="J12" t="n">
        <v>1.2</v>
      </c>
      <c r="K12" t="n">
        <v>3347</v>
      </c>
      <c r="L12" t="n">
        <v>0.7</v>
      </c>
      <c r="M12" t="n">
        <v>35</v>
      </c>
      <c r="N12" t="n">
        <v>49</v>
      </c>
      <c r="O12" t="n">
        <v>4</v>
      </c>
      <c r="P12" t="inlineStr">
        <is>
          <t>Pastičky, mucholapky, nástrahy na myši (balení do 150 g pro veřejnost). Nouzový a diskrétní nákup – vhodné pro bezobslužný prodej.</t>
        </is>
      </c>
    </row>
    <row r="13">
      <c r="A13" t="inlineStr">
        <is>
          <t>Podpalovače, topení, zapalování</t>
        </is>
      </c>
      <c r="B13" t="n">
        <v>45</v>
      </c>
      <c r="C13" t="n">
        <v>24</v>
      </c>
      <c r="D13" t="n">
        <v>57</v>
      </c>
      <c r="E13" t="n">
        <v>73</v>
      </c>
      <c r="F13" t="n">
        <v>2696.9199</v>
      </c>
      <c r="G13" t="n">
        <v>3859.5103</v>
      </c>
      <c r="H13" t="n">
        <v>895.6399</v>
      </c>
      <c r="I13" t="n">
        <v>65</v>
      </c>
      <c r="J13" t="n">
        <v>1.1</v>
      </c>
      <c r="K13" t="n">
        <v>3278</v>
      </c>
      <c r="L13" t="n">
        <v>0.7</v>
      </c>
      <c r="M13" t="n">
        <v>33</v>
      </c>
      <c r="N13" t="n">
        <v>50</v>
      </c>
      <c r="O13" t="n">
        <v>4</v>
      </c>
      <c r="P13" t="inlineStr">
        <is>
          <t>Pepo, zapalovače, zápalky, dřevěné uhlí. Silně sezónní (podzim–zima + grilování), v malých městech s lokálním topením velmi žádané.</t>
        </is>
      </c>
    </row>
    <row r="14">
      <c r="A14" t="inlineStr">
        <is>
          <t>Svíčky a hřbitovní zboží</t>
        </is>
      </c>
      <c r="B14" t="n">
        <v>114</v>
      </c>
      <c r="C14" t="n">
        <v>21</v>
      </c>
      <c r="D14" t="n">
        <v>42</v>
      </c>
      <c r="E14" t="n">
        <v>41</v>
      </c>
      <c r="F14" t="n">
        <v>1363.6203</v>
      </c>
      <c r="G14" t="n">
        <v>1940.14</v>
      </c>
      <c r="H14" t="n">
        <v>498.1603</v>
      </c>
      <c r="I14" t="n">
        <v>42</v>
      </c>
      <c r="J14" t="n">
        <v>0.7</v>
      </c>
      <c r="K14" t="n">
        <v>1652</v>
      </c>
      <c r="L14" t="n">
        <v>0.3</v>
      </c>
      <c r="M14" t="n">
        <v>37</v>
      </c>
      <c r="N14" t="n">
        <v>39</v>
      </c>
      <c r="O14" t="n">
        <v>4</v>
      </c>
      <c r="P14" t="inlineStr">
        <is>
          <t>Hřbitovní patrony 25–50 Kč, iluminační svíčky. V malých městech stálá poptávka, špičky před Dušičkami a svátky. Neomezená trvanlivost.</t>
        </is>
      </c>
    </row>
    <row r="15">
      <c r="A15" t="inlineStr">
        <is>
          <t>Kabely a vodiče</t>
        </is>
      </c>
      <c r="B15" t="n">
        <v>583</v>
      </c>
      <c r="C15" t="n">
        <v>39</v>
      </c>
      <c r="D15" t="n">
        <v>229</v>
      </c>
      <c r="E15" t="n">
        <v>371</v>
      </c>
      <c r="F15" t="n">
        <v>8556.100700000001</v>
      </c>
      <c r="G15" t="n">
        <v>11444.5522</v>
      </c>
      <c r="H15" t="n">
        <v>3352.0207</v>
      </c>
      <c r="I15" t="n">
        <v>300</v>
      </c>
      <c r="J15" t="n">
        <v>5.2</v>
      </c>
      <c r="K15" t="n">
        <v>10000</v>
      </c>
      <c r="L15" t="n">
        <v>2</v>
      </c>
      <c r="M15" t="n">
        <v>39</v>
      </c>
      <c r="N15" t="n">
        <v>33</v>
      </c>
      <c r="O15" t="n">
        <v>3</v>
      </c>
      <c r="P15" t="inlineStr">
        <is>
          <t>V datech se prodává na metry (nutná obsluha). Pro bezobslužný prodej předbalit 5 m / 10 m návin CYKY, CYSY a dvojlinky.</t>
        </is>
      </c>
    </row>
    <row r="16">
      <c r="A16" t="inlineStr">
        <is>
          <t>Ředidla a technická chemie</t>
        </is>
      </c>
      <c r="B16" t="n">
        <v>218</v>
      </c>
      <c r="C16" t="n">
        <v>98</v>
      </c>
      <c r="D16" t="n">
        <v>187</v>
      </c>
      <c r="E16" t="n">
        <v>193</v>
      </c>
      <c r="F16" t="n">
        <v>20168.56</v>
      </c>
      <c r="G16" t="n">
        <v>20876.63</v>
      </c>
      <c r="H16" t="n">
        <v>8967.99</v>
      </c>
      <c r="I16" t="n">
        <v>190</v>
      </c>
      <c r="J16" t="n">
        <v>3.3</v>
      </c>
      <c r="K16" t="n">
        <v>20523</v>
      </c>
      <c r="L16" t="n">
        <v>4.1</v>
      </c>
      <c r="M16" t="n">
        <v>44</v>
      </c>
      <c r="N16" t="n">
        <v>108</v>
      </c>
      <c r="O16" t="n">
        <v>3</v>
      </c>
      <c r="P16" t="inlineStr">
        <is>
          <t>Ředidla 0,7 l a líh se prodávají dobře, ale jde o hořlaviny – nutné posoudit požární předpisy prostoru. Technický benzín (spotřební daň) a kyseliny vynechat.</t>
        </is>
      </c>
    </row>
    <row r="17">
      <c r="A17" t="inlineStr">
        <is>
          <t>Domácnost (šňůry, kolíčky, věšáky, garnýže)</t>
        </is>
      </c>
      <c r="B17" t="n">
        <v>399</v>
      </c>
      <c r="C17" t="n">
        <v>83</v>
      </c>
      <c r="D17" t="n">
        <v>163</v>
      </c>
      <c r="E17" t="n">
        <v>112</v>
      </c>
      <c r="F17" t="n">
        <v>7615.3281</v>
      </c>
      <c r="G17" t="n">
        <v>4782.620699999999</v>
      </c>
      <c r="H17" t="n">
        <v>2736.0081</v>
      </c>
      <c r="I17" t="n">
        <v>138</v>
      </c>
      <c r="J17" t="n">
        <v>2.4</v>
      </c>
      <c r="K17" t="n">
        <v>6199</v>
      </c>
      <c r="L17" t="n">
        <v>1.2</v>
      </c>
      <c r="M17" t="n">
        <v>36</v>
      </c>
      <c r="N17" t="n">
        <v>45</v>
      </c>
      <c r="O17" t="n">
        <v>3</v>
      </c>
      <c r="P17" t="inlineStr">
        <is>
          <t>Skřipce, háčky, věšáky, kolíčky, šňůry. Doplněk, pomalejší obrátka.</t>
        </is>
      </c>
    </row>
    <row r="18">
      <c r="A18" t="inlineStr">
        <is>
          <t>Ruční nářadí a měřidla</t>
        </is>
      </c>
      <c r="B18" t="n">
        <v>314</v>
      </c>
      <c r="C18" t="n">
        <v>108</v>
      </c>
      <c r="D18" t="n">
        <v>108</v>
      </c>
      <c r="E18" t="n">
        <v>142</v>
      </c>
      <c r="F18" t="n">
        <v>12130.08</v>
      </c>
      <c r="G18" t="n">
        <v>14476.16</v>
      </c>
      <c r="H18" t="n">
        <v>4733.29</v>
      </c>
      <c r="I18" t="n">
        <v>125</v>
      </c>
      <c r="J18" t="n">
        <v>2.2</v>
      </c>
      <c r="K18" t="n">
        <v>13303</v>
      </c>
      <c r="L18" t="n">
        <v>2.7</v>
      </c>
      <c r="M18" t="n">
        <v>39</v>
      </c>
      <c r="N18" t="n">
        <v>106</v>
      </c>
      <c r="O18" t="n">
        <v>3</v>
      </c>
      <c r="P18" t="inlineStr">
        <is>
          <t>Jen základ: svinovací metr, odlamovací nůž + čepelky, šroubovák, kartáč. Dražší nářadí = riziko krádeže.</t>
        </is>
      </c>
    </row>
    <row r="19">
      <c r="A19" t="inlineStr">
        <is>
          <t>Hygiena a papírové zboží</t>
        </is>
      </c>
      <c r="B19" t="n">
        <v>108</v>
      </c>
      <c r="C19" t="n">
        <v>49</v>
      </c>
      <c r="D19" t="n">
        <v>108</v>
      </c>
      <c r="E19" t="n">
        <v>94</v>
      </c>
      <c r="F19" t="n">
        <v>3188.7601</v>
      </c>
      <c r="G19" t="n">
        <v>3487.0694</v>
      </c>
      <c r="H19" t="n">
        <v>980.1901</v>
      </c>
      <c r="I19" t="n">
        <v>101</v>
      </c>
      <c r="J19" t="n">
        <v>1.7</v>
      </c>
      <c r="K19" t="n">
        <v>3338</v>
      </c>
      <c r="L19" t="n">
        <v>0.7</v>
      </c>
      <c r="M19" t="n">
        <v>31</v>
      </c>
      <c r="N19" t="n">
        <v>33</v>
      </c>
      <c r="O19" t="n">
        <v>3</v>
      </c>
      <c r="P19" t="inlineStr">
        <is>
          <t>Toaletní papír, ručníky, kapesníky. Nouzová potřeba 24/7, ale objemné a nízká marže (31 %). Držet 3–5 položek.</t>
        </is>
      </c>
    </row>
    <row r="20">
      <c r="A20" t="inlineStr">
        <is>
          <t>Klíče, zámky, kroužky</t>
        </is>
      </c>
      <c r="B20" t="n">
        <v>59</v>
      </c>
      <c r="C20" t="n">
        <v>14</v>
      </c>
      <c r="D20" t="n">
        <v>91</v>
      </c>
      <c r="E20" t="n">
        <v>94</v>
      </c>
      <c r="F20" t="n">
        <v>582.4802</v>
      </c>
      <c r="G20" t="n">
        <v>427.4396</v>
      </c>
      <c r="H20" t="n">
        <v>260.1802</v>
      </c>
      <c r="I20" t="n">
        <v>92</v>
      </c>
      <c r="J20" t="n">
        <v>1.6</v>
      </c>
      <c r="K20" t="n">
        <v>505</v>
      </c>
      <c r="L20" t="n">
        <v>0.1</v>
      </c>
      <c r="M20" t="n">
        <v>45</v>
      </c>
      <c r="N20" t="n">
        <v>5</v>
      </c>
      <c r="O20" t="n">
        <v>3</v>
      </c>
      <c r="P20" t="inlineStr">
        <is>
          <t>Kroužky a rozlišovače za 3–10 Kč – zanedbatelný obrat, ale zvyšují počet položek v košíku. Klíče se nedají bez obsluhy vyrábět.</t>
        </is>
      </c>
    </row>
    <row r="21">
      <c r="A21" t="inlineStr">
        <is>
          <t>Papírnictví a psací potřeby</t>
        </is>
      </c>
      <c r="B21" t="n">
        <v>86</v>
      </c>
      <c r="C21" t="n">
        <v>43</v>
      </c>
      <c r="D21" t="n">
        <v>60</v>
      </c>
      <c r="E21" t="n">
        <v>103</v>
      </c>
      <c r="F21" t="n">
        <v>2045.8701</v>
      </c>
      <c r="G21" t="n">
        <v>4490.4702</v>
      </c>
      <c r="H21" t="n">
        <v>744.1301</v>
      </c>
      <c r="I21" t="n">
        <v>82</v>
      </c>
      <c r="J21" t="n">
        <v>1.4</v>
      </c>
      <c r="K21" t="n">
        <v>3268</v>
      </c>
      <c r="L21" t="n">
        <v>0.7</v>
      </c>
      <c r="M21" t="n">
        <v>36</v>
      </c>
      <c r="N21" t="n">
        <v>40</v>
      </c>
      <c r="O21" t="n">
        <v>3</v>
      </c>
      <c r="P21" t="inlineStr">
        <is>
          <t>Popisovače, lepicí tyčinky, sáčky. Doplňkový sortiment, nízká cena, zabere málo místa.</t>
        </is>
      </c>
    </row>
    <row r="22">
      <c r="A22" t="inlineStr">
        <is>
          <t>Spojovací materiál</t>
        </is>
      </c>
      <c r="B22" t="n">
        <v>39</v>
      </c>
      <c r="C22" t="n">
        <v>16</v>
      </c>
      <c r="D22" t="n">
        <v>66</v>
      </c>
      <c r="E22" t="n">
        <v>68</v>
      </c>
      <c r="F22" t="n">
        <v>2132.21</v>
      </c>
      <c r="G22" t="n">
        <v>2361.97</v>
      </c>
      <c r="H22" t="n">
        <v>758.26</v>
      </c>
      <c r="I22" t="n">
        <v>67</v>
      </c>
      <c r="J22" t="n">
        <v>1.2</v>
      </c>
      <c r="K22" t="n">
        <v>2247</v>
      </c>
      <c r="L22" t="n">
        <v>0.4</v>
      </c>
      <c r="M22" t="n">
        <v>36</v>
      </c>
      <c r="N22" t="n">
        <v>34</v>
      </c>
      <c r="O22" t="n">
        <v>3</v>
      </c>
      <c r="P22" t="inlineStr">
        <is>
          <t>V datech kusový prodej za 0,3–0,4 Kč – bez obsluhy nefunguje. Nabídnout v blistrech/sáčcích (šrouby, hmoždinky, vruty – sady).</t>
        </is>
      </c>
    </row>
    <row r="23">
      <c r="A23" t="inlineStr">
        <is>
          <t>Velikonoční a sezónní zboží</t>
        </is>
      </c>
      <c r="B23" t="n">
        <v>79</v>
      </c>
      <c r="C23" t="n">
        <v>21</v>
      </c>
      <c r="D23" t="n">
        <v>13</v>
      </c>
      <c r="E23" t="n">
        <v>70</v>
      </c>
      <c r="F23" t="n">
        <v>203.8</v>
      </c>
      <c r="G23" t="n">
        <v>975.4299999999999</v>
      </c>
      <c r="H23" t="n">
        <v>75.77</v>
      </c>
      <c r="I23" t="n">
        <v>42</v>
      </c>
      <c r="J23" t="n">
        <v>0.7</v>
      </c>
      <c r="K23" t="n">
        <v>590</v>
      </c>
      <c r="L23" t="n">
        <v>0.1</v>
      </c>
      <c r="M23" t="n">
        <v>37</v>
      </c>
      <c r="N23" t="n">
        <v>14</v>
      </c>
      <c r="O23" t="n">
        <v>3</v>
      </c>
      <c r="P23" t="inlineStr">
        <is>
          <t>Sezónní stojan (barvy na vejce, obtisky). Střídat se semeny a vánočním zbožím.</t>
        </is>
      </c>
    </row>
    <row r="24">
      <c r="A24" t="inlineStr">
        <is>
          <t>Domácí zavařování a uzení</t>
        </is>
      </c>
      <c r="B24" t="n">
        <v>54</v>
      </c>
      <c r="C24" t="n">
        <v>14</v>
      </c>
      <c r="D24" t="n">
        <v>29</v>
      </c>
      <c r="E24" t="n">
        <v>26</v>
      </c>
      <c r="F24" t="n">
        <v>885.66</v>
      </c>
      <c r="G24" t="n">
        <v>775.23</v>
      </c>
      <c r="H24" t="n">
        <v>305.13</v>
      </c>
      <c r="I24" t="n">
        <v>28</v>
      </c>
      <c r="J24" t="n">
        <v>0.5</v>
      </c>
      <c r="K24" t="n">
        <v>830</v>
      </c>
      <c r="L24" t="n">
        <v>0.2</v>
      </c>
      <c r="M24" t="n">
        <v>34</v>
      </c>
      <c r="N24" t="n">
        <v>30</v>
      </c>
      <c r="O24" t="n">
        <v>3</v>
      </c>
      <c r="P24" t="inlineStr">
        <is>
          <t>Víčka, špejle, střeva – sezónní (léto/podzim), malé rozměry.</t>
        </is>
      </c>
    </row>
    <row r="25">
      <c r="A25" t="inlineStr">
        <is>
          <t>Nátěrové hmoty (barvy, laky, lazury)</t>
        </is>
      </c>
      <c r="B25" t="n">
        <v>1003</v>
      </c>
      <c r="C25" t="n">
        <v>284</v>
      </c>
      <c r="D25" t="n">
        <v>293</v>
      </c>
      <c r="E25" t="n">
        <v>380</v>
      </c>
      <c r="F25" t="n">
        <v>104120.3503</v>
      </c>
      <c r="G25" t="n">
        <v>140448.0006</v>
      </c>
      <c r="H25" t="n">
        <v>38518.9303</v>
      </c>
      <c r="I25" t="n">
        <v>336</v>
      </c>
      <c r="J25" t="n">
        <v>5.8</v>
      </c>
      <c r="K25" t="n">
        <v>122284</v>
      </c>
      <c r="L25" t="n">
        <v>24.4</v>
      </c>
      <c r="M25" t="n">
        <v>37</v>
      </c>
      <c r="N25" t="n">
        <v>364</v>
      </c>
      <c r="O25" t="n">
        <v>2</v>
      </c>
      <c r="P25" t="inlineStr">
        <is>
          <t>Největší obrat prodejny (24 %), ale kbelíky 15+3 kg, tónování a poradenství se bez obsluhy nedají. Max. bílá malířská 1–4 kg a pár lazur 0,75 l.</t>
        </is>
      </c>
    </row>
    <row r="26">
      <c r="A26" t="inlineStr">
        <is>
          <t>Spreje</t>
        </is>
      </c>
      <c r="B26" t="n">
        <v>180</v>
      </c>
      <c r="C26" t="n">
        <v>74</v>
      </c>
      <c r="D26" t="n">
        <v>91</v>
      </c>
      <c r="E26" t="n">
        <v>135</v>
      </c>
      <c r="F26" t="n">
        <v>11158.5</v>
      </c>
      <c r="G26" t="n">
        <v>18621.1993</v>
      </c>
      <c r="H26" t="n">
        <v>4099.24</v>
      </c>
      <c r="I26" t="n">
        <v>113</v>
      </c>
      <c r="J26" t="n">
        <v>1.9</v>
      </c>
      <c r="K26" t="n">
        <v>14890</v>
      </c>
      <c r="L26" t="n">
        <v>3</v>
      </c>
      <c r="M26" t="n">
        <v>37</v>
      </c>
      <c r="N26" t="n">
        <v>132</v>
      </c>
      <c r="O26" t="n">
        <v>2</v>
      </c>
      <c r="P26" t="inlineStr">
        <is>
          <t>Barvy ve spreji 120–250 Kč: hořlavé, riziko krádeže a zneužití (graffiti). Bez obsluhy jen omezeně, spíš ne.</t>
        </is>
      </c>
    </row>
    <row r="27">
      <c r="A27" t="inlineStr">
        <is>
          <t>Osobní kosmetika</t>
        </is>
      </c>
      <c r="B27" t="n">
        <v>327</v>
      </c>
      <c r="C27" t="n">
        <v>97</v>
      </c>
      <c r="D27" t="n">
        <v>71</v>
      </c>
      <c r="E27" t="n">
        <v>63</v>
      </c>
      <c r="F27" t="n">
        <v>6209.309999999999</v>
      </c>
      <c r="G27" t="n">
        <v>6287.55</v>
      </c>
      <c r="H27" t="n">
        <v>1841.56</v>
      </c>
      <c r="I27" t="n">
        <v>67</v>
      </c>
      <c r="J27" t="n">
        <v>1.2</v>
      </c>
      <c r="K27" t="n">
        <v>6248</v>
      </c>
      <c r="L27" t="n">
        <v>1.2</v>
      </c>
      <c r="M27" t="n">
        <v>30</v>
      </c>
      <c r="N27" t="n">
        <v>93</v>
      </c>
      <c r="O27" t="n">
        <v>2</v>
      </c>
      <c r="P27" t="inlineStr">
        <is>
          <t>V hobbymarketu se prodává málo (67 ks/měs), silná konkurence supermarketů. Jen dezinfekce, náplasti.</t>
        </is>
      </c>
    </row>
    <row r="28">
      <c r="A28" t="inlineStr">
        <is>
          <t>Autodoplňky</t>
        </is>
      </c>
      <c r="B28" t="n">
        <v>41</v>
      </c>
      <c r="C28" t="n">
        <v>10</v>
      </c>
      <c r="D28" t="n">
        <v>5</v>
      </c>
      <c r="E28" t="n">
        <v>8</v>
      </c>
      <c r="F28" t="n">
        <v>477.68</v>
      </c>
      <c r="G28" t="n">
        <v>659.5</v>
      </c>
      <c r="H28" t="n">
        <v>144.78</v>
      </c>
      <c r="I28" t="n">
        <v>6</v>
      </c>
      <c r="J28" t="n">
        <v>0.1</v>
      </c>
      <c r="K28" t="n">
        <v>569</v>
      </c>
      <c r="L28" t="n">
        <v>0.1</v>
      </c>
      <c r="M28" t="n">
        <v>30</v>
      </c>
      <c r="N28" t="n">
        <v>95</v>
      </c>
      <c r="O28" t="n">
        <v>2</v>
      </c>
      <c r="P28" t="inlineStr">
        <is>
          <t>Minimální prodej v datech; nemrznoucí směs a destilovaná voda jako doplněk.</t>
        </is>
      </c>
    </row>
    <row r="29">
      <c r="A29" t="inlineStr">
        <is>
          <t>Krmiva a chovatelské potřeby</t>
        </is>
      </c>
      <c r="B29" t="n">
        <v>14</v>
      </c>
      <c r="C29" t="n">
        <v>6</v>
      </c>
      <c r="D29" t="n">
        <v>1</v>
      </c>
      <c r="E29" t="n">
        <v>8</v>
      </c>
      <c r="F29" t="n">
        <v>52.07</v>
      </c>
      <c r="G29" t="n">
        <v>513.5299</v>
      </c>
      <c r="H29" t="n">
        <v>18.98</v>
      </c>
      <c r="I29" t="n">
        <v>4</v>
      </c>
      <c r="J29" t="n">
        <v>0.1</v>
      </c>
      <c r="K29" t="n">
        <v>283</v>
      </c>
      <c r="L29" t="n">
        <v>0.1</v>
      </c>
      <c r="M29" t="n">
        <v>36</v>
      </c>
      <c r="N29" t="n">
        <v>71</v>
      </c>
      <c r="O29" t="n">
        <v>2</v>
      </c>
      <c r="P29" t="inlineStr">
        <is>
          <t>Zanedbatelný prodej v datech (nesledovaný sortiment prodejny 1).</t>
        </is>
      </c>
    </row>
    <row r="30">
      <c r="A30" t="inlineStr">
        <is>
          <t>Stavební chemie a sádra</t>
        </is>
      </c>
      <c r="B30" t="n">
        <v>131</v>
      </c>
      <c r="C30" t="n">
        <v>48</v>
      </c>
      <c r="D30" t="n">
        <v>61</v>
      </c>
      <c r="E30" t="n">
        <v>73</v>
      </c>
      <c r="F30" t="n">
        <v>8099.9304</v>
      </c>
      <c r="G30" t="n">
        <v>12933.1401</v>
      </c>
      <c r="H30" t="n">
        <v>3071.6204</v>
      </c>
      <c r="I30" t="n">
        <v>67</v>
      </c>
      <c r="J30" t="n">
        <v>1.2</v>
      </c>
      <c r="K30" t="n">
        <v>10517</v>
      </c>
      <c r="L30" t="n">
        <v>2.1</v>
      </c>
      <c r="M30" t="n">
        <v>38</v>
      </c>
      <c r="N30" t="n">
        <v>157</v>
      </c>
      <c r="O30" t="n">
        <v>1</v>
      </c>
      <c r="P30" t="inlineStr">
        <is>
          <t>Pytle 25 kg, poradenství. Výjimka: sádra 1–3 kg.</t>
        </is>
      </c>
    </row>
    <row r="31">
      <c r="A31" t="inlineStr">
        <is>
          <t>Pyrotechnika</t>
        </is>
      </c>
      <c r="B31" t="n">
        <v>45</v>
      </c>
      <c r="C31" t="n">
        <v>1</v>
      </c>
      <c r="D31" t="n">
        <v>0</v>
      </c>
      <c r="E31" t="n">
        <v>1</v>
      </c>
      <c r="F31" t="n">
        <v>0</v>
      </c>
      <c r="G31" t="n">
        <v>40.5</v>
      </c>
      <c r="H31" t="n">
        <v>0</v>
      </c>
      <c r="I31" t="n">
        <v>0</v>
      </c>
      <c r="J31" t="n">
        <v>0</v>
      </c>
      <c r="K31" t="n">
        <v>20</v>
      </c>
      <c r="L31" t="n">
        <v>0</v>
      </c>
      <c r="O31" t="n">
        <v>1</v>
      </c>
      <c r="P31" t="inlineStr">
        <is>
          <t>Zákon č. 206/2015 Sb. – prodej jen osobám nad 18/21 let s ověřením, bez obsluhy nelze.</t>
        </is>
      </c>
    </row>
    <row r="32">
      <c r="A32" t="inlineStr">
        <is>
          <t>Zahradní technika a příslušenství</t>
        </is>
      </c>
      <c r="B32" t="n">
        <v>9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O32" t="n">
        <v>1</v>
      </c>
      <c r="P32" t="inlineStr">
        <is>
          <t>Bez prodejů, drahé, potřebuje obsluhu.</t>
        </is>
      </c>
    </row>
    <row r="33">
      <c r="A33" t="inlineStr">
        <is>
          <t>Nezařazeno</t>
        </is>
      </c>
      <c r="B33" t="n">
        <v>3238</v>
      </c>
      <c r="C33" t="n">
        <v>713</v>
      </c>
      <c r="D33" t="n">
        <v>607</v>
      </c>
      <c r="E33" t="n">
        <v>609</v>
      </c>
      <c r="F33" t="n">
        <v>84204.7401</v>
      </c>
      <c r="G33" t="n">
        <v>110289.1303</v>
      </c>
      <c r="H33" t="n">
        <v>28913.4601</v>
      </c>
      <c r="I33" t="n">
        <v>608</v>
      </c>
      <c r="J33" t="n">
        <v>10.5</v>
      </c>
      <c r="K33" t="n">
        <v>97247</v>
      </c>
      <c r="L33" t="n">
        <v>19.4</v>
      </c>
      <c r="M33" t="n">
        <v>34</v>
      </c>
      <c r="N33" t="n">
        <v>160</v>
      </c>
      <c r="O33" t="n">
        <v>0</v>
      </c>
      <c r="P33" t="inlineStr">
        <is>
          <t>Dlouhý chvost (688 aktivních položek), ručně projít.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99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60" customWidth="1" min="3" max="3"/>
    <col width="16" customWidth="1" min="4" max="4"/>
    <col width="18" customWidth="1" min="5" max="5"/>
    <col width="13" customWidth="1" min="6" max="6"/>
    <col width="13" customWidth="1" min="7" max="7"/>
    <col width="15" customWidth="1" min="8" max="8"/>
    <col width="18" customWidth="1" min="9" max="9"/>
    <col width="10" customWidth="1" min="10" max="10"/>
    <col width="24" customWidth="1" min="11" max="11"/>
    <col width="48" customWidth="1" min="12" max="12"/>
    <col width="38" customWidth="1" min="13" max="13"/>
  </cols>
  <sheetData>
    <row r="1">
      <c r="A1" t="inlineStr">
        <is>
          <t>doporučení</t>
        </is>
      </c>
      <c r="B1" t="inlineStr">
        <is>
          <t>Skupina_produkt</t>
        </is>
      </c>
      <c r="C1" t="inlineStr">
        <is>
          <t>Název</t>
        </is>
      </c>
      <c r="D1" t="inlineStr">
        <is>
          <t>Čárkód</t>
        </is>
      </c>
      <c r="E1" t="inlineStr">
        <is>
          <t>Prodejní cena Kč</t>
        </is>
      </c>
      <c r="F1" t="inlineStr">
        <is>
          <t>ks 3-4/2025</t>
        </is>
      </c>
      <c r="G1" t="inlineStr">
        <is>
          <t>ks 3-4/2024</t>
        </is>
      </c>
      <c r="H1" t="inlineStr">
        <is>
          <t>ks_měsíc_prům</t>
        </is>
      </c>
      <c r="I1" t="inlineStr">
        <is>
          <t>obrat_měsíc_prům</t>
        </is>
      </c>
      <c r="J1" t="inlineStr">
        <is>
          <t>marže_%</t>
        </is>
      </c>
      <c r="K1" t="inlineStr">
        <is>
          <t>Stav zásoby (8.4.2025)</t>
        </is>
      </c>
      <c r="L1" t="inlineStr">
        <is>
          <t>Dodavatel</t>
        </is>
      </c>
      <c r="M1" t="inlineStr">
        <is>
          <t>Členění</t>
        </is>
      </c>
    </row>
    <row r="2">
      <c r="A2" t="inlineStr">
        <is>
          <t>jádro</t>
        </is>
      </c>
      <c r="B2" t="inlineStr">
        <is>
          <t>Baterie</t>
        </is>
      </c>
      <c r="C2" t="inlineStr">
        <is>
          <t>GETI alkal. AA LR06 pack 10ks</t>
        </is>
      </c>
      <c r="D2" t="inlineStr">
        <is>
          <t>8595563726969</t>
        </is>
      </c>
      <c r="E2" t="n">
        <v>120</v>
      </c>
      <c r="F2" t="n">
        <v>4</v>
      </c>
      <c r="G2" t="n">
        <v>141</v>
      </c>
      <c r="H2" t="n">
        <v>72.5</v>
      </c>
      <c r="I2" t="n">
        <v>895</v>
      </c>
      <c r="J2" t="n">
        <v>101</v>
      </c>
      <c r="K2" t="n">
        <v>16</v>
      </c>
      <c r="L2" t="inlineStr">
        <is>
          <t>MERTLÍK, spol. s r.o.</t>
        </is>
      </c>
      <c r="M2" t="inlineStr">
        <is>
          <t>Drogerie/Elektro/Mertlík</t>
        </is>
      </c>
    </row>
    <row r="3">
      <c r="A3" t="inlineStr">
        <is>
          <t>jádro</t>
        </is>
      </c>
      <c r="B3" t="inlineStr">
        <is>
          <t>Baterie</t>
        </is>
      </c>
      <c r="C3" t="inlineStr">
        <is>
          <t>Tužková bateri AA- Panasonic</t>
        </is>
      </c>
      <c r="D3" t="inlineStr">
        <is>
          <t>5410853045724</t>
        </is>
      </c>
      <c r="E3" t="n">
        <v>8</v>
      </c>
      <c r="F3" t="n">
        <v>48</v>
      </c>
      <c r="G3" t="n">
        <v>43</v>
      </c>
      <c r="H3" t="n">
        <v>45.5</v>
      </c>
      <c r="I3" t="n">
        <v>294</v>
      </c>
      <c r="J3" t="n">
        <v>87</v>
      </c>
      <c r="K3" t="n">
        <v>245</v>
      </c>
      <c r="L3" t="inlineStr">
        <is>
          <t>MERTLÍK, spol. s r.o.</t>
        </is>
      </c>
      <c r="M3" t="inlineStr">
        <is>
          <t>Drogerie/Elektro/Mertlík</t>
        </is>
      </c>
    </row>
    <row r="4">
      <c r="A4" t="inlineStr">
        <is>
          <t>jádro</t>
        </is>
      </c>
      <c r="B4" t="inlineStr">
        <is>
          <t>Baterie</t>
        </is>
      </c>
      <c r="C4" t="inlineStr">
        <is>
          <t>Panasonic tužkové LR6 baterie- Gold AA</t>
        </is>
      </c>
      <c r="D4" t="inlineStr">
        <is>
          <t>5410853039945</t>
        </is>
      </c>
      <c r="E4" t="n">
        <v>22</v>
      </c>
      <c r="F4" t="n">
        <v>70</v>
      </c>
      <c r="G4" t="n">
        <v>17</v>
      </c>
      <c r="H4" t="n">
        <v>43.5</v>
      </c>
      <c r="I4" t="n">
        <v>786</v>
      </c>
      <c r="J4" t="n">
        <v>121</v>
      </c>
      <c r="K4" t="n">
        <v>69</v>
      </c>
      <c r="L4" t="inlineStr">
        <is>
          <t>MERTLÍK, spol. s r.o.</t>
        </is>
      </c>
      <c r="M4" t="inlineStr">
        <is>
          <t>Drogerie/Elektro/Mertlík</t>
        </is>
      </c>
    </row>
    <row r="5">
      <c r="A5" t="inlineStr">
        <is>
          <t>jádro</t>
        </is>
      </c>
      <c r="B5" t="inlineStr">
        <is>
          <t>Baterie</t>
        </is>
      </c>
      <c r="C5" t="inlineStr">
        <is>
          <t>AAA mikrotužka panasonic LR03</t>
        </is>
      </c>
      <c r="D5" t="inlineStr">
        <is>
          <t>5410853040170</t>
        </is>
      </c>
      <c r="E5" t="n">
        <v>25</v>
      </c>
      <c r="F5" t="n">
        <v>72</v>
      </c>
      <c r="G5" t="n">
        <v>14</v>
      </c>
      <c r="H5" t="n">
        <v>43</v>
      </c>
      <c r="I5" t="n">
        <v>888</v>
      </c>
      <c r="J5" t="n">
        <v>151</v>
      </c>
      <c r="K5" t="n">
        <v>4</v>
      </c>
      <c r="L5" t="inlineStr">
        <is>
          <t>MERTLÍK, spol. s r.o.</t>
        </is>
      </c>
      <c r="M5" t="inlineStr">
        <is>
          <t>Drogerie/Elektro/Mertlík</t>
        </is>
      </c>
    </row>
    <row r="6">
      <c r="A6" t="inlineStr">
        <is>
          <t>jádro</t>
        </is>
      </c>
      <c r="B6" t="inlineStr">
        <is>
          <t>Baterie</t>
        </is>
      </c>
      <c r="C6" t="inlineStr">
        <is>
          <t>GETI alkal. AAA LR03 pack 10ks</t>
        </is>
      </c>
      <c r="D6" t="inlineStr">
        <is>
          <t>8595563726976</t>
        </is>
      </c>
      <c r="E6" t="n">
        <v>120</v>
      </c>
      <c r="F6" t="n">
        <v>1</v>
      </c>
      <c r="G6" t="n">
        <v>80</v>
      </c>
      <c r="H6" t="n">
        <v>40.5</v>
      </c>
      <c r="I6" t="n">
        <v>436</v>
      </c>
      <c r="J6" t="n">
        <v>122</v>
      </c>
      <c r="K6" t="n">
        <v>6</v>
      </c>
      <c r="L6" t="inlineStr">
        <is>
          <t>MERTLÍK, spol. s r.o.</t>
        </is>
      </c>
      <c r="M6" t="inlineStr">
        <is>
          <t>Drogerie/Elektro/Mertlík</t>
        </is>
      </c>
    </row>
    <row r="7">
      <c r="A7" t="inlineStr">
        <is>
          <t>jádro</t>
        </is>
      </c>
      <c r="B7" t="inlineStr">
        <is>
          <t>Baterie</t>
        </is>
      </c>
      <c r="C7" t="inlineStr">
        <is>
          <t xml:space="preserve">Panasonic CR-2032EP </t>
        </is>
      </c>
      <c r="D7" t="inlineStr">
        <is>
          <t>5410853043836</t>
        </is>
      </c>
      <c r="E7" t="n">
        <v>45</v>
      </c>
      <c r="F7" t="n">
        <v>36</v>
      </c>
      <c r="G7" t="n">
        <v>39</v>
      </c>
      <c r="H7" t="n">
        <v>37.5</v>
      </c>
      <c r="I7" t="n">
        <v>1387</v>
      </c>
      <c r="J7" t="n">
        <v>269</v>
      </c>
      <c r="K7" t="n">
        <v>15</v>
      </c>
      <c r="L7" t="inlineStr">
        <is>
          <t>MERTLÍK, spol. s r.o.</t>
        </is>
      </c>
      <c r="M7" t="inlineStr">
        <is>
          <t>Drogerie/Elektro/Mertlík</t>
        </is>
      </c>
    </row>
    <row r="8">
      <c r="A8" t="inlineStr">
        <is>
          <t>jádro</t>
        </is>
      </c>
      <c r="B8" t="inlineStr">
        <is>
          <t>Baterie</t>
        </is>
      </c>
      <c r="C8" t="inlineStr">
        <is>
          <t>Panasonic mikro tužka AAA R03Z/4P</t>
        </is>
      </c>
      <c r="D8" t="inlineStr">
        <is>
          <t>5410853045731</t>
        </is>
      </c>
      <c r="E8" t="n">
        <v>10</v>
      </c>
      <c r="F8" t="n">
        <v>13</v>
      </c>
      <c r="G8" t="n">
        <v>17</v>
      </c>
      <c r="H8" t="n">
        <v>15</v>
      </c>
      <c r="I8" t="n">
        <v>116</v>
      </c>
      <c r="J8" t="n">
        <v>174</v>
      </c>
      <c r="K8" t="n">
        <v>59</v>
      </c>
      <c r="L8" t="inlineStr">
        <is>
          <t>MERTLÍK, spol. s r.o.</t>
        </is>
      </c>
      <c r="M8" t="inlineStr">
        <is>
          <t>Drogerie/Elektro/Mertlík</t>
        </is>
      </c>
    </row>
    <row r="9">
      <c r="A9" t="inlineStr">
        <is>
          <t>jádro</t>
        </is>
      </c>
      <c r="B9" t="inlineStr">
        <is>
          <t>Baterie</t>
        </is>
      </c>
      <c r="C9" t="inlineStr">
        <is>
          <t>R14 zinkové baterie</t>
        </is>
      </c>
      <c r="D9" t="inlineStr">
        <is>
          <t>5410853034865</t>
        </is>
      </c>
      <c r="E9" t="n">
        <v>21</v>
      </c>
      <c r="F9" t="n">
        <v>4</v>
      </c>
      <c r="G9" t="n">
        <v>23</v>
      </c>
      <c r="H9" t="n">
        <v>13.5</v>
      </c>
      <c r="I9" t="n">
        <v>209</v>
      </c>
      <c r="J9" t="n">
        <v>78</v>
      </c>
      <c r="K9" t="n">
        <v>76</v>
      </c>
      <c r="L9" t="inlineStr">
        <is>
          <t>MERTLÍK, spol. s r.o.</t>
        </is>
      </c>
      <c r="M9" t="inlineStr">
        <is>
          <t>Drogerie/Elektro/Mertlík</t>
        </is>
      </c>
    </row>
    <row r="10">
      <c r="A10" t="inlineStr">
        <is>
          <t>jádro</t>
        </is>
      </c>
      <c r="B10" t="inlineStr">
        <is>
          <t>Baterie</t>
        </is>
      </c>
      <c r="C10" t="inlineStr">
        <is>
          <t xml:space="preserve">Lithium AA </t>
        </is>
      </c>
      <c r="D10" t="inlineStr">
        <is>
          <t>7638900262643</t>
        </is>
      </c>
      <c r="E10" t="n">
        <v>74</v>
      </c>
      <c r="F10" t="n">
        <v>8</v>
      </c>
      <c r="G10" t="n">
        <v>12</v>
      </c>
      <c r="H10" t="n">
        <v>10</v>
      </c>
      <c r="I10" t="n">
        <v>597</v>
      </c>
      <c r="J10" t="n">
        <v>43</v>
      </c>
      <c r="K10" t="n">
        <v>2</v>
      </c>
      <c r="L10" t="inlineStr">
        <is>
          <t>MERTLÍK, spol. s r.o.</t>
        </is>
      </c>
      <c r="M10" t="inlineStr">
        <is>
          <t>Drogerie/Elektro/Mertlík</t>
        </is>
      </c>
    </row>
    <row r="11">
      <c r="A11" t="inlineStr">
        <is>
          <t>jádro</t>
        </is>
      </c>
      <c r="B11" t="inlineStr">
        <is>
          <t>Baterie</t>
        </is>
      </c>
      <c r="C11" t="inlineStr">
        <is>
          <t>GP supercell LR 14 malé</t>
        </is>
      </c>
      <c r="D11" t="inlineStr">
        <is>
          <t>4891199037177</t>
        </is>
      </c>
      <c r="E11" t="n">
        <v>39</v>
      </c>
      <c r="F11" t="n">
        <v>19</v>
      </c>
      <c r="G11" t="n">
        <v>0</v>
      </c>
      <c r="H11" t="n">
        <v>9.5</v>
      </c>
      <c r="I11" t="n">
        <v>306</v>
      </c>
      <c r="J11" t="n">
        <v>48</v>
      </c>
      <c r="K11" t="n">
        <v>26</v>
      </c>
      <c r="L11" t="inlineStr">
        <is>
          <t>MERTLÍK, spol. s r.o.</t>
        </is>
      </c>
      <c r="M11" t="inlineStr">
        <is>
          <t>Drogerie/Elektro/Mertlík</t>
        </is>
      </c>
    </row>
    <row r="12">
      <c r="A12" t="inlineStr">
        <is>
          <t>jádro</t>
        </is>
      </c>
      <c r="B12" t="inlineStr">
        <is>
          <t>Baterie</t>
        </is>
      </c>
      <c r="C12" t="inlineStr">
        <is>
          <t>Energizer A23 12V</t>
        </is>
      </c>
      <c r="D12" t="inlineStr">
        <is>
          <t>7638900083057</t>
        </is>
      </c>
      <c r="E12" t="n">
        <v>39</v>
      </c>
      <c r="F12" t="n">
        <v>11</v>
      </c>
      <c r="G12" t="n">
        <v>3</v>
      </c>
      <c r="H12" t="n">
        <v>7</v>
      </c>
      <c r="I12" t="n">
        <v>226</v>
      </c>
      <c r="J12" t="n">
        <v>108</v>
      </c>
      <c r="K12" t="n">
        <v>7</v>
      </c>
      <c r="L12" t="inlineStr">
        <is>
          <t>MERTLÍK, spol. s r.o.</t>
        </is>
      </c>
      <c r="M12" t="inlineStr">
        <is>
          <t>Drogerie/Elektro/Mertlík</t>
        </is>
      </c>
    </row>
    <row r="13">
      <c r="A13" t="inlineStr">
        <is>
          <t>jádro</t>
        </is>
      </c>
      <c r="B13" t="inlineStr">
        <is>
          <t>Baterie</t>
        </is>
      </c>
      <c r="C13" t="inlineStr">
        <is>
          <t>Panasonic PR312 do naslouchátek</t>
        </is>
      </c>
      <c r="D13" t="inlineStr">
        <is>
          <t>5410853057031</t>
        </is>
      </c>
      <c r="E13" t="n">
        <v>18</v>
      </c>
      <c r="F13" t="n">
        <v>0</v>
      </c>
      <c r="G13" t="n">
        <v>12</v>
      </c>
      <c r="H13" t="n">
        <v>6</v>
      </c>
      <c r="I13" t="n">
        <v>96</v>
      </c>
      <c r="J13" t="n">
        <v>63</v>
      </c>
      <c r="K13" t="n">
        <v>30</v>
      </c>
      <c r="L13" t="inlineStr">
        <is>
          <t>MERTLÍK, spol. s r.o.</t>
        </is>
      </c>
      <c r="M13" t="inlineStr">
        <is>
          <t>Drogerie/Elektro/Mertlík</t>
        </is>
      </c>
    </row>
    <row r="14">
      <c r="A14" t="inlineStr">
        <is>
          <t>jádro</t>
        </is>
      </c>
      <c r="B14" t="inlineStr">
        <is>
          <t>Baterie</t>
        </is>
      </c>
      <c r="C14" t="inlineStr">
        <is>
          <t>Energizer A76/LR44 jeden kus</t>
        </is>
      </c>
      <c r="D14" t="inlineStr">
        <is>
          <t>7638900083071</t>
        </is>
      </c>
      <c r="E14" t="n">
        <v>25</v>
      </c>
      <c r="F14" t="n">
        <v>6</v>
      </c>
      <c r="G14" t="n">
        <v>5</v>
      </c>
      <c r="H14" t="n">
        <v>5.5</v>
      </c>
      <c r="I14" t="n">
        <v>113</v>
      </c>
      <c r="J14" t="n">
        <v>151</v>
      </c>
      <c r="K14" t="n">
        <v>12</v>
      </c>
      <c r="L14" t="inlineStr">
        <is>
          <t>MERTLÍK, spol. s r.o.</t>
        </is>
      </c>
      <c r="M14" t="inlineStr">
        <is>
          <t>Drogerie/Elektro/Mertlík</t>
        </is>
      </c>
    </row>
    <row r="15">
      <c r="A15" t="inlineStr">
        <is>
          <t>jádro</t>
        </is>
      </c>
      <c r="B15" t="inlineStr">
        <is>
          <t>Baterie</t>
        </is>
      </c>
      <c r="C15" t="inlineStr">
        <is>
          <t xml:space="preserve">Baterie CR2025 3V </t>
        </is>
      </c>
      <c r="D15" t="inlineStr">
        <is>
          <t>5410853043829</t>
        </is>
      </c>
      <c r="E15" t="n">
        <v>39</v>
      </c>
      <c r="F15" t="n">
        <v>4</v>
      </c>
      <c r="G15" t="n">
        <v>7</v>
      </c>
      <c r="H15" t="n">
        <v>5.5</v>
      </c>
      <c r="I15" t="n">
        <v>174</v>
      </c>
      <c r="J15" t="n">
        <v>226</v>
      </c>
      <c r="K15" t="n">
        <v>18</v>
      </c>
      <c r="L15" t="inlineStr">
        <is>
          <t>MERTLÍK, spol. s r.o.</t>
        </is>
      </c>
      <c r="M15" t="inlineStr">
        <is>
          <t>Drogerie/Elektro/Mertlík</t>
        </is>
      </c>
    </row>
    <row r="16">
      <c r="A16" t="inlineStr">
        <is>
          <t>jádro</t>
        </is>
      </c>
      <c r="B16" t="inlineStr">
        <is>
          <t>Baterie</t>
        </is>
      </c>
      <c r="C16" t="inlineStr">
        <is>
          <t>Panasonic tužkové LR6 Evolta</t>
        </is>
      </c>
      <c r="D16" t="inlineStr">
        <is>
          <t>5410853044703</t>
        </is>
      </c>
      <c r="E16" t="n">
        <v>30</v>
      </c>
      <c r="F16" t="n">
        <v>10</v>
      </c>
      <c r="G16" t="n">
        <v>0</v>
      </c>
      <c r="H16" t="n">
        <v>5</v>
      </c>
      <c r="I16" t="n">
        <v>124</v>
      </c>
      <c r="J16" t="n">
        <v>109</v>
      </c>
      <c r="K16" t="n">
        <v>22</v>
      </c>
      <c r="L16" t="inlineStr">
        <is>
          <t>MERTLÍK, spol. s r.o.</t>
        </is>
      </c>
      <c r="M16" t="inlineStr">
        <is>
          <t>Drogerie/Elektro/Mertlík</t>
        </is>
      </c>
    </row>
    <row r="17">
      <c r="A17" t="inlineStr">
        <is>
          <t>jádro</t>
        </is>
      </c>
      <c r="B17" t="inlineStr">
        <is>
          <t>Baterie</t>
        </is>
      </c>
      <c r="C17" t="inlineStr">
        <is>
          <t>Zinková baterie GP Greencell 9V (6F22), 1 ks</t>
        </is>
      </c>
      <c r="D17" t="inlineStr">
        <is>
          <t>4891199002205</t>
        </is>
      </c>
      <c r="E17" t="n">
        <v>30</v>
      </c>
      <c r="F17" t="n">
        <v>3</v>
      </c>
      <c r="G17" t="n">
        <v>6</v>
      </c>
      <c r="H17" t="n">
        <v>4.5</v>
      </c>
      <c r="I17" t="n">
        <v>112</v>
      </c>
      <c r="J17" t="n">
        <v>74</v>
      </c>
      <c r="K17" t="n">
        <v>9</v>
      </c>
      <c r="L17" t="inlineStr">
        <is>
          <t>EMOS spol. s r.o.</t>
        </is>
      </c>
      <c r="M17" t="inlineStr">
        <is>
          <t>Drogerie/Elektro/Emos</t>
        </is>
      </c>
    </row>
    <row r="18">
      <c r="A18" t="inlineStr">
        <is>
          <t>jádro</t>
        </is>
      </c>
      <c r="B18" t="inlineStr">
        <is>
          <t>Baterie</t>
        </is>
      </c>
      <c r="C18" t="inlineStr">
        <is>
          <t>CR 2 - 3 volty lithium</t>
        </is>
      </c>
      <c r="D18" t="inlineStr">
        <is>
          <t>5025232016082</t>
        </is>
      </c>
      <c r="E18" t="n">
        <v>89</v>
      </c>
      <c r="F18" t="n">
        <v>2</v>
      </c>
      <c r="G18" t="n">
        <v>5</v>
      </c>
      <c r="H18" t="n">
        <v>3.5</v>
      </c>
      <c r="I18" t="n">
        <v>257</v>
      </c>
      <c r="J18" t="n">
        <v>93</v>
      </c>
      <c r="K18" t="n">
        <v>12</v>
      </c>
      <c r="L18" t="inlineStr">
        <is>
          <t>MERTLÍK, spol. s r.o.</t>
        </is>
      </c>
      <c r="M18" t="inlineStr">
        <is>
          <t>Drogerie/Elektro/Mertlík</t>
        </is>
      </c>
    </row>
    <row r="19">
      <c r="A19" t="inlineStr">
        <is>
          <t>jádro</t>
        </is>
      </c>
      <c r="B19" t="inlineStr">
        <is>
          <t>Elektroinstalační drobný materiál</t>
        </is>
      </c>
      <c r="C19" t="inlineStr">
        <is>
          <t>Bezš. svorka wago 3x4mm s páčkou  221-413 WP3</t>
        </is>
      </c>
      <c r="D19" t="inlineStr">
        <is>
          <t>4055143644907</t>
        </is>
      </c>
      <c r="E19" t="n">
        <v>16</v>
      </c>
      <c r="F19" t="n">
        <v>35</v>
      </c>
      <c r="G19" t="n">
        <v>25</v>
      </c>
      <c r="H19" t="n">
        <v>30</v>
      </c>
      <c r="I19" t="n">
        <v>397</v>
      </c>
      <c r="J19" t="n">
        <v>76</v>
      </c>
      <c r="K19" t="n">
        <v>77</v>
      </c>
      <c r="L19" t="inlineStr">
        <is>
          <t>MERTLÍK, spol. s r.o.</t>
        </is>
      </c>
      <c r="M19" t="inlineStr">
        <is>
          <t>Drogerie/Elektro/Mertlík</t>
        </is>
      </c>
    </row>
    <row r="20">
      <c r="A20" t="inlineStr">
        <is>
          <t>jádro</t>
        </is>
      </c>
      <c r="B20" t="inlineStr">
        <is>
          <t>Elektroinstalační drobný materiál</t>
        </is>
      </c>
      <c r="C20" t="inlineStr">
        <is>
          <t>bezš. svorka wago 3x2,5mm 2273-203</t>
        </is>
      </c>
      <c r="D20" t="inlineStr">
        <is>
          <t>4050821027850</t>
        </is>
      </c>
      <c r="E20" t="n">
        <v>6</v>
      </c>
      <c r="F20" t="n">
        <v>17</v>
      </c>
      <c r="G20" t="n">
        <v>25</v>
      </c>
      <c r="H20" t="n">
        <v>21</v>
      </c>
      <c r="I20" t="n">
        <v>103</v>
      </c>
      <c r="J20" t="n">
        <v>63</v>
      </c>
      <c r="K20" t="n">
        <v>68</v>
      </c>
      <c r="L20" t="inlineStr">
        <is>
          <t>MERTLÍK, spol. s r.o.</t>
        </is>
      </c>
      <c r="M20" t="inlineStr">
        <is>
          <t>Drogerie/Elektro/Mertlík</t>
        </is>
      </c>
    </row>
    <row r="21">
      <c r="A21" t="inlineStr">
        <is>
          <t>jádro</t>
        </is>
      </c>
      <c r="B21" t="inlineStr">
        <is>
          <t>Elektroinstalační drobný materiál</t>
        </is>
      </c>
      <c r="C21" t="inlineStr">
        <is>
          <t>bezš. svorka wago 4x2,5mm 2273-204</t>
        </is>
      </c>
      <c r="D21" t="inlineStr">
        <is>
          <t>4050821027867</t>
        </is>
      </c>
      <c r="E21" t="n">
        <v>8</v>
      </c>
      <c r="F21" t="n">
        <v>6</v>
      </c>
      <c r="G21" t="n">
        <v>34</v>
      </c>
      <c r="H21" t="n">
        <v>20</v>
      </c>
      <c r="I21" t="n">
        <v>132</v>
      </c>
      <c r="J21" t="n">
        <v>70</v>
      </c>
      <c r="K21" t="n">
        <v>105</v>
      </c>
      <c r="L21" t="inlineStr">
        <is>
          <t>MERTLÍK, spol. s r.o.</t>
        </is>
      </c>
      <c r="M21" t="inlineStr">
        <is>
          <t>Drogerie/Elektro/Mertlík</t>
        </is>
      </c>
    </row>
    <row r="22">
      <c r="A22" t="inlineStr">
        <is>
          <t>jádro</t>
        </is>
      </c>
      <c r="B22" t="inlineStr">
        <is>
          <t>Elektroinstalační drobný materiál</t>
        </is>
      </c>
      <c r="C22" t="inlineStr">
        <is>
          <t>Pojistka přístrojová různé hodnoty malá</t>
        </is>
      </c>
      <c r="D22" t="inlineStr">
        <is>
          <t>1000000008449</t>
        </is>
      </c>
      <c r="E22" t="n">
        <v>9</v>
      </c>
      <c r="F22" t="n">
        <v>30</v>
      </c>
      <c r="G22" t="n">
        <v>3</v>
      </c>
      <c r="H22" t="n">
        <v>16.5</v>
      </c>
      <c r="I22" t="n">
        <v>123</v>
      </c>
      <c r="J22" t="n">
        <v>128</v>
      </c>
      <c r="K22" t="n">
        <v>107</v>
      </c>
      <c r="L22" t="inlineStr">
        <is>
          <t>MERTLÍK, spol. s r.o.</t>
        </is>
      </c>
      <c r="M22" t="inlineStr">
        <is>
          <t>Drogerie/Elektro/Mertlík</t>
        </is>
      </c>
    </row>
    <row r="23">
      <c r="A23" t="inlineStr">
        <is>
          <t>jádro</t>
        </is>
      </c>
      <c r="B23" t="inlineStr">
        <is>
          <t>Elektroinstalační drobný materiál</t>
        </is>
      </c>
      <c r="C23" t="inlineStr">
        <is>
          <t>PŘÍMÁ bezš svorka WAGO 2X4mm s páčkou 221-2411</t>
        </is>
      </c>
      <c r="D23" t="inlineStr">
        <is>
          <t>4066966102666</t>
        </is>
      </c>
      <c r="E23" t="n">
        <v>19</v>
      </c>
      <c r="F23" t="n">
        <v>12</v>
      </c>
      <c r="G23" t="n">
        <v>20</v>
      </c>
      <c r="H23" t="n">
        <v>16</v>
      </c>
      <c r="I23" t="n">
        <v>251</v>
      </c>
      <c r="J23" t="n">
        <v>71</v>
      </c>
      <c r="K23" t="n">
        <v>95</v>
      </c>
      <c r="L23" t="inlineStr">
        <is>
          <t>MERTLÍK, spol. s r.o.</t>
        </is>
      </c>
      <c r="M23" t="inlineStr">
        <is>
          <t>Drogerie/Elektro/Mertlík</t>
        </is>
      </c>
    </row>
    <row r="24">
      <c r="A24" t="inlineStr">
        <is>
          <t>jádro</t>
        </is>
      </c>
      <c r="B24" t="inlineStr">
        <is>
          <t>Elektroinstalační drobný materiál</t>
        </is>
      </c>
      <c r="C24" t="inlineStr">
        <is>
          <t>bezš. svorka wago 2x4mm s páčkou  221-412 WP2</t>
        </is>
      </c>
      <c r="D24" t="inlineStr">
        <is>
          <t>4055143644716</t>
        </is>
      </c>
      <c r="E24" t="n">
        <v>13</v>
      </c>
      <c r="F24" t="n">
        <v>0</v>
      </c>
      <c r="G24" t="n">
        <v>30</v>
      </c>
      <c r="H24" t="n">
        <v>15</v>
      </c>
      <c r="I24" t="n">
        <v>161</v>
      </c>
      <c r="J24" t="n">
        <v>60</v>
      </c>
      <c r="K24" t="n">
        <v>29</v>
      </c>
      <c r="L24" t="inlineStr">
        <is>
          <t>MERTLÍK, spol. s r.o.</t>
        </is>
      </c>
      <c r="M24" t="inlineStr">
        <is>
          <t>Drogerie/Elektro/Mertlík</t>
        </is>
      </c>
    </row>
    <row r="25">
      <c r="A25" t="inlineStr">
        <is>
          <t>jádro</t>
        </is>
      </c>
      <c r="B25" t="inlineStr">
        <is>
          <t>Elektroinstalační drobný materiál</t>
        </is>
      </c>
      <c r="C25" t="inlineStr">
        <is>
          <t>zdíř. L973- 100 6,3mm Faston auto  03360089 samice</t>
        </is>
      </c>
      <c r="D25" t="inlineStr">
        <is>
          <t>8595118845541</t>
        </is>
      </c>
      <c r="E25" t="n">
        <v>2</v>
      </c>
      <c r="F25" t="n">
        <v>28</v>
      </c>
      <c r="G25" t="n">
        <v>0</v>
      </c>
      <c r="H25" t="n">
        <v>14</v>
      </c>
      <c r="I25" t="n">
        <v>23</v>
      </c>
      <c r="J25" t="n">
        <v>174</v>
      </c>
      <c r="K25" t="n">
        <v>0</v>
      </c>
      <c r="L25" t="inlineStr">
        <is>
          <t>MERTLÍK, spol. s r.o.</t>
        </is>
      </c>
      <c r="M25" t="inlineStr">
        <is>
          <t>Drogerie/Elektro/Mertlík</t>
        </is>
      </c>
    </row>
    <row r="26">
      <c r="A26" t="inlineStr">
        <is>
          <t>jádro</t>
        </is>
      </c>
      <c r="B26" t="inlineStr">
        <is>
          <t>Elektroinstalační drobný materiál</t>
        </is>
      </c>
      <c r="C26" t="inlineStr">
        <is>
          <t>Inst.Krabice univerzál.UK1 krabice +  KU 68/2-1901 vysoká</t>
        </is>
      </c>
      <c r="D26" t="inlineStr">
        <is>
          <t>8584128185846</t>
        </is>
      </c>
      <c r="E26" t="n">
        <v>8</v>
      </c>
      <c r="F26" t="n">
        <v>12</v>
      </c>
      <c r="G26" t="n">
        <v>9</v>
      </c>
      <c r="H26" t="n">
        <v>10.5</v>
      </c>
      <c r="I26" t="n">
        <v>69</v>
      </c>
      <c r="J26" t="n">
        <v>69</v>
      </c>
      <c r="K26" t="n">
        <v>30</v>
      </c>
      <c r="L26" t="inlineStr">
        <is>
          <t>MERTLÍK, spol. s r.o.</t>
        </is>
      </c>
      <c r="M26" t="inlineStr">
        <is>
          <t>Drogerie/Elektro/Mertlík</t>
        </is>
      </c>
    </row>
    <row r="27">
      <c r="A27" t="inlineStr">
        <is>
          <t>jádro</t>
        </is>
      </c>
      <c r="B27" t="inlineStr">
        <is>
          <t>Elektroinstalační drobný materiál</t>
        </is>
      </c>
      <c r="C27" t="inlineStr">
        <is>
          <t>Vidlice úhlová bílá 5536-2154</t>
        </is>
      </c>
      <c r="D27" t="inlineStr">
        <is>
          <t>8595017214202</t>
        </is>
      </c>
      <c r="E27" t="n">
        <v>53</v>
      </c>
      <c r="F27" t="n">
        <v>10</v>
      </c>
      <c r="G27" t="n">
        <v>4</v>
      </c>
      <c r="H27" t="n">
        <v>7</v>
      </c>
      <c r="I27" t="n">
        <v>298</v>
      </c>
      <c r="J27" t="n">
        <v>47</v>
      </c>
      <c r="K27" t="n">
        <v>5</v>
      </c>
      <c r="L27" t="inlineStr">
        <is>
          <t>MERTLÍK, spol. s r.o.</t>
        </is>
      </c>
      <c r="M27" t="inlineStr">
        <is>
          <t>Drogerie/Elektro/Mertlík</t>
        </is>
      </c>
    </row>
    <row r="28">
      <c r="A28" t="inlineStr">
        <is>
          <t>jádro</t>
        </is>
      </c>
      <c r="B28" t="inlineStr">
        <is>
          <t>Elektroinstalační drobný materiál</t>
        </is>
      </c>
      <c r="C28" t="inlineStr">
        <is>
          <t>Pojistka 16A</t>
        </is>
      </c>
      <c r="D28" t="inlineStr">
        <is>
          <t>3838895000143</t>
        </is>
      </c>
      <c r="E28" t="n">
        <v>25</v>
      </c>
      <c r="F28" t="n">
        <v>5</v>
      </c>
      <c r="G28" t="n">
        <v>7</v>
      </c>
      <c r="H28" t="n">
        <v>6</v>
      </c>
      <c r="I28" t="n">
        <v>112</v>
      </c>
      <c r="J28" t="n">
        <v>82</v>
      </c>
      <c r="K28" t="n">
        <v>23</v>
      </c>
      <c r="L28" t="inlineStr">
        <is>
          <t>MERTLÍK, spol. s r.o.</t>
        </is>
      </c>
      <c r="M28" t="inlineStr">
        <is>
          <t>Drogerie/Elektro/Mertlík</t>
        </is>
      </c>
    </row>
    <row r="29">
      <c r="A29" t="inlineStr">
        <is>
          <t>jádro</t>
        </is>
      </c>
      <c r="B29" t="inlineStr">
        <is>
          <t>Elektroinstalační drobný materiál</t>
        </is>
      </c>
      <c r="C29" t="inlineStr">
        <is>
          <t>Vidlice gumová černá IP44</t>
        </is>
      </c>
      <c r="D29" t="inlineStr">
        <is>
          <t>3245060504458</t>
        </is>
      </c>
      <c r="E29" t="n">
        <v>109</v>
      </c>
      <c r="F29" t="n">
        <v>7</v>
      </c>
      <c r="G29" t="n">
        <v>5</v>
      </c>
      <c r="H29" t="n">
        <v>6</v>
      </c>
      <c r="I29" t="n">
        <v>510</v>
      </c>
      <c r="J29" t="n">
        <v>54</v>
      </c>
      <c r="K29" t="n">
        <v>5</v>
      </c>
      <c r="L29" t="inlineStr">
        <is>
          <t>MERTLÍK, spol. s r.o.</t>
        </is>
      </c>
      <c r="M29" t="inlineStr">
        <is>
          <t>Drogerie/Elektro/Mertlík</t>
        </is>
      </c>
    </row>
    <row r="30">
      <c r="A30" t="inlineStr">
        <is>
          <t>jádro</t>
        </is>
      </c>
      <c r="B30" t="inlineStr">
        <is>
          <t>Elektroinstalační drobný materiál</t>
        </is>
      </c>
      <c r="C30" t="inlineStr">
        <is>
          <t>bezš. svorka wago 5x4 s páčkou 221-415</t>
        </is>
      </c>
      <c r="D30" t="inlineStr">
        <is>
          <t>4055143234658</t>
        </is>
      </c>
      <c r="E30" t="n">
        <v>20</v>
      </c>
      <c r="F30" t="n">
        <v>10</v>
      </c>
      <c r="G30" t="n">
        <v>0</v>
      </c>
      <c r="H30" t="n">
        <v>5</v>
      </c>
      <c r="I30" t="n">
        <v>83</v>
      </c>
      <c r="J30" t="n">
        <v>54</v>
      </c>
      <c r="K30" t="n">
        <v>35</v>
      </c>
      <c r="L30" t="inlineStr">
        <is>
          <t>MERTLÍK, spol. s r.o.</t>
        </is>
      </c>
      <c r="M30" t="inlineStr">
        <is>
          <t>Drogerie/Elektro/Mertlík</t>
        </is>
      </c>
    </row>
    <row r="31">
      <c r="A31" t="inlineStr">
        <is>
          <t>jádro</t>
        </is>
      </c>
      <c r="B31" t="inlineStr">
        <is>
          <t>Elektroinstalační drobný materiál</t>
        </is>
      </c>
      <c r="C31" t="inlineStr">
        <is>
          <t>Krabice do sádrokartonu  ŽLUTÁ</t>
        </is>
      </c>
      <c r="D31" t="inlineStr">
        <is>
          <t>8595568929709</t>
        </is>
      </c>
      <c r="E31" t="n">
        <v>40</v>
      </c>
      <c r="F31" t="n">
        <v>6</v>
      </c>
      <c r="G31" t="n">
        <v>3</v>
      </c>
      <c r="H31" t="n">
        <v>4.5</v>
      </c>
      <c r="I31" t="n">
        <v>149</v>
      </c>
      <c r="J31" t="n">
        <v>41</v>
      </c>
      <c r="K31" t="n">
        <v>26</v>
      </c>
      <c r="L31" t="inlineStr">
        <is>
          <t>MERTLÍK, spol. s r.o.</t>
        </is>
      </c>
      <c r="M31" t="inlineStr">
        <is>
          <t>Drogerie/Elektro/Mertlík</t>
        </is>
      </c>
    </row>
    <row r="32">
      <c r="A32" t="inlineStr">
        <is>
          <t>jádro</t>
        </is>
      </c>
      <c r="B32" t="inlineStr">
        <is>
          <t>Elektroinstalační drobný materiál</t>
        </is>
      </c>
      <c r="C32" t="inlineStr">
        <is>
          <t>lišta 17*17 vkládací 2m</t>
        </is>
      </c>
      <c r="D32" t="inlineStr">
        <is>
          <t>8595057616530</t>
        </is>
      </c>
      <c r="E32" t="n">
        <v>66</v>
      </c>
      <c r="F32" t="n">
        <v>8</v>
      </c>
      <c r="G32" t="n">
        <v>1</v>
      </c>
      <c r="H32" t="n">
        <v>4.5</v>
      </c>
      <c r="I32" t="n">
        <v>244</v>
      </c>
      <c r="J32" t="n">
        <v>48</v>
      </c>
      <c r="K32" t="n">
        <v>3</v>
      </c>
      <c r="L32" t="inlineStr">
        <is>
          <t>MERTLÍK, spol. s r.o.</t>
        </is>
      </c>
      <c r="M32" t="inlineStr">
        <is>
          <t>Drogerie/Elektro/Mertlík</t>
        </is>
      </c>
    </row>
    <row r="33">
      <c r="A33" t="inlineStr">
        <is>
          <t>jádro</t>
        </is>
      </c>
      <c r="B33" t="inlineStr">
        <is>
          <t>Elektroinstalační drobný materiál</t>
        </is>
      </c>
      <c r="C33" t="inlineStr">
        <is>
          <t>Svorkovnice 10 čokoláda</t>
        </is>
      </c>
      <c r="D33" t="inlineStr">
        <is>
          <t>5905339264336</t>
        </is>
      </c>
      <c r="E33" t="n">
        <v>35</v>
      </c>
      <c r="F33" t="n">
        <v>5</v>
      </c>
      <c r="G33" t="n">
        <v>4</v>
      </c>
      <c r="H33" t="n">
        <v>4.5</v>
      </c>
      <c r="I33" t="n">
        <v>130</v>
      </c>
      <c r="J33" t="n">
        <v>51</v>
      </c>
      <c r="K33" t="n">
        <v>3</v>
      </c>
      <c r="L33" t="inlineStr">
        <is>
          <t>MERTLÍK, spol. s r.o.</t>
        </is>
      </c>
      <c r="M33" t="inlineStr">
        <is>
          <t>Drogerie/Elektro/Mertlík</t>
        </is>
      </c>
    </row>
    <row r="34">
      <c r="A34" t="inlineStr">
        <is>
          <t>jádro</t>
        </is>
      </c>
      <c r="B34" t="inlineStr">
        <is>
          <t>Elektroinstalační drobný materiál</t>
        </is>
      </c>
      <c r="C34" t="inlineStr">
        <is>
          <t>Vidlička lomená černá 5536-2159N</t>
        </is>
      </c>
      <c r="D34" t="inlineStr">
        <is>
          <t>8595017292835</t>
        </is>
      </c>
      <c r="E34" t="n">
        <v>55</v>
      </c>
      <c r="F34" t="n">
        <v>3</v>
      </c>
      <c r="G34" t="n">
        <v>6</v>
      </c>
      <c r="H34" t="n">
        <v>4.5</v>
      </c>
      <c r="I34" t="n">
        <v>197</v>
      </c>
      <c r="J34" t="n">
        <v>48</v>
      </c>
      <c r="K34" t="n">
        <v>4</v>
      </c>
      <c r="L34" t="inlineStr">
        <is>
          <t>MERTLÍK, spol. s r.o.</t>
        </is>
      </c>
      <c r="M34" t="inlineStr">
        <is>
          <t>Drogerie/Elektro/Mertlík</t>
        </is>
      </c>
    </row>
    <row r="35">
      <c r="A35" t="inlineStr">
        <is>
          <t>jádro</t>
        </is>
      </c>
      <c r="B35" t="inlineStr">
        <is>
          <t>Elektroinstalační drobný materiál</t>
        </is>
      </c>
      <c r="C35" t="inlineStr">
        <is>
          <t xml:space="preserve">inst.Spína.3553-01289 B1 jednopól. spínač Classic, řazení 1, bílý </t>
        </is>
      </c>
      <c r="D35" t="inlineStr">
        <is>
          <t xml:space="preserve">8595017203329 </t>
        </is>
      </c>
      <c r="E35" t="n">
        <v>91</v>
      </c>
      <c r="F35" t="n">
        <v>6</v>
      </c>
      <c r="G35" t="n">
        <v>3</v>
      </c>
      <c r="H35" t="n">
        <v>4.5</v>
      </c>
      <c r="I35" t="n">
        <v>336</v>
      </c>
      <c r="J35" t="n">
        <v>42</v>
      </c>
      <c r="K35" t="n">
        <v>6</v>
      </c>
      <c r="L35" t="inlineStr">
        <is>
          <t>MERTLÍK, spol. s r.o.</t>
        </is>
      </c>
      <c r="M35" t="inlineStr">
        <is>
          <t>Drogerie/Elektro/Mertlík</t>
        </is>
      </c>
    </row>
    <row r="36">
      <c r="A36" t="inlineStr">
        <is>
          <t>jádro</t>
        </is>
      </c>
      <c r="B36" t="inlineStr">
        <is>
          <t>Elektroinstalační drobný materiál</t>
        </is>
      </c>
      <c r="C36" t="inlineStr">
        <is>
          <t>Vidl. 32Ax5 INV 3253</t>
        </is>
      </c>
      <c r="D36" t="inlineStr">
        <is>
          <t>8585007343302</t>
        </is>
      </c>
      <c r="E36" t="n">
        <v>249</v>
      </c>
      <c r="F36" t="n">
        <v>4</v>
      </c>
      <c r="G36" t="n">
        <v>4</v>
      </c>
      <c r="H36" t="n">
        <v>4</v>
      </c>
      <c r="I36" t="n">
        <v>740</v>
      </c>
      <c r="J36" t="n">
        <v>83</v>
      </c>
      <c r="K36" t="n">
        <v>4</v>
      </c>
      <c r="L36" t="inlineStr">
        <is>
          <t>MERTLÍK, spol. s r.o.</t>
        </is>
      </c>
      <c r="M36" t="inlineStr">
        <is>
          <t>Drogerie/Elektro/Mertlík</t>
        </is>
      </c>
    </row>
    <row r="37">
      <c r="A37" t="inlineStr">
        <is>
          <t>jádro</t>
        </is>
      </c>
      <c r="B37" t="inlineStr">
        <is>
          <t>Elektroinstalační drobný materiál</t>
        </is>
      </c>
      <c r="C37" t="inlineStr">
        <is>
          <t>vidlice tympol s ouškem</t>
        </is>
      </c>
      <c r="D37" t="inlineStr">
        <is>
          <t>5907736500772</t>
        </is>
      </c>
      <c r="E37" t="n">
        <v>45</v>
      </c>
      <c r="F37" t="n">
        <v>0</v>
      </c>
      <c r="G37" t="n">
        <v>8</v>
      </c>
      <c r="H37" t="n">
        <v>4</v>
      </c>
      <c r="I37" t="n">
        <v>141</v>
      </c>
      <c r="J37" t="n">
        <v>71</v>
      </c>
      <c r="K37" t="n">
        <v>1</v>
      </c>
      <c r="L37" t="inlineStr">
        <is>
          <t>MERTLÍK, spol. s r.o.</t>
        </is>
      </c>
      <c r="M37" t="inlineStr">
        <is>
          <t>Drogerie/Elektro/Mertlík</t>
        </is>
      </c>
    </row>
    <row r="38">
      <c r="A38" t="inlineStr">
        <is>
          <t>jádro</t>
        </is>
      </c>
      <c r="B38" t="inlineStr">
        <is>
          <t>Elektroinstalační drobný materiál</t>
        </is>
      </c>
      <c r="C38" t="inlineStr">
        <is>
          <t>zásuvka spojovací GN- 171, bílá</t>
        </is>
      </c>
      <c r="D38" t="inlineStr">
        <is>
          <t>5907570002722</t>
        </is>
      </c>
      <c r="E38" t="n">
        <v>65</v>
      </c>
      <c r="F38" t="n">
        <v>2</v>
      </c>
      <c r="G38" t="n">
        <v>6</v>
      </c>
      <c r="H38" t="n">
        <v>4</v>
      </c>
      <c r="I38" t="n">
        <v>201</v>
      </c>
      <c r="J38" t="n">
        <v>53</v>
      </c>
      <c r="K38" t="n">
        <v>0</v>
      </c>
      <c r="L38" t="inlineStr">
        <is>
          <t>MERTLÍK, spol. s r.o.</t>
        </is>
      </c>
      <c r="M38" t="inlineStr">
        <is>
          <t>Drogerie/Elektro/Mertlík</t>
        </is>
      </c>
    </row>
    <row r="39">
      <c r="A39" t="inlineStr">
        <is>
          <t>jádro</t>
        </is>
      </c>
      <c r="B39" t="inlineStr">
        <is>
          <t>Elektroinstalační drobný materiál</t>
        </is>
      </c>
      <c r="C39" t="inlineStr">
        <is>
          <t>Gumová zásuvka černá IP40, 1 ks</t>
        </is>
      </c>
      <c r="D39" t="inlineStr">
        <is>
          <t>3245060504465</t>
        </is>
      </c>
      <c r="E39" t="n">
        <v>137.8</v>
      </c>
      <c r="F39" t="n">
        <v>3</v>
      </c>
      <c r="G39" t="n">
        <v>5</v>
      </c>
      <c r="H39" t="n">
        <v>4</v>
      </c>
      <c r="I39" t="n">
        <v>435</v>
      </c>
      <c r="J39" t="n">
        <v>47</v>
      </c>
      <c r="K39" t="n">
        <v>12</v>
      </c>
      <c r="L39" t="inlineStr">
        <is>
          <t>MERTLÍK, spol. s r.o.</t>
        </is>
      </c>
      <c r="M39" t="inlineStr">
        <is>
          <t>Drogerie/Elektro/Mertlík</t>
        </is>
      </c>
    </row>
    <row r="40">
      <c r="A40" t="inlineStr">
        <is>
          <t>jádro</t>
        </is>
      </c>
      <c r="B40" t="inlineStr">
        <is>
          <t>Elektroinstalační drobný materiál</t>
        </is>
      </c>
      <c r="C40" t="inlineStr">
        <is>
          <t>Svorkovnice 2,5 čokoláda</t>
        </is>
      </c>
      <c r="D40" t="inlineStr">
        <is>
          <t>5905339264305</t>
        </is>
      </c>
      <c r="E40" t="n">
        <v>22</v>
      </c>
      <c r="F40" t="n">
        <v>6</v>
      </c>
      <c r="G40" t="n">
        <v>1</v>
      </c>
      <c r="H40" t="n">
        <v>3.5</v>
      </c>
      <c r="I40" t="n">
        <v>63</v>
      </c>
      <c r="J40" t="n">
        <v>52</v>
      </c>
      <c r="K40" t="n">
        <v>10</v>
      </c>
      <c r="L40" t="inlineStr">
        <is>
          <t>MERTLÍK, spol. s r.o.</t>
        </is>
      </c>
      <c r="M40" t="inlineStr">
        <is>
          <t>Drogerie/Elektro/Mertlík</t>
        </is>
      </c>
    </row>
    <row r="41">
      <c r="A41" t="inlineStr">
        <is>
          <t>jádro</t>
        </is>
      </c>
      <c r="B41" t="inlineStr">
        <is>
          <t>Elektroinstalační drobný materiál</t>
        </is>
      </c>
      <c r="C41" t="inlineStr">
        <is>
          <t>strojek 01</t>
        </is>
      </c>
      <c r="D41" t="inlineStr">
        <is>
          <t>1000000008234</t>
        </is>
      </c>
      <c r="E41" t="n">
        <v>61</v>
      </c>
      <c r="F41" t="n">
        <v>1</v>
      </c>
      <c r="G41" t="n">
        <v>5</v>
      </c>
      <c r="H41" t="n">
        <v>3</v>
      </c>
      <c r="I41" t="n">
        <v>147</v>
      </c>
      <c r="J41" t="n">
        <v>40</v>
      </c>
      <c r="K41" t="n">
        <v>7</v>
      </c>
      <c r="L41" t="inlineStr">
        <is>
          <t>MERTLÍK, spol. s r.o.</t>
        </is>
      </c>
      <c r="M41" t="inlineStr">
        <is>
          <t>Drogerie/Elektro/Mertlík</t>
        </is>
      </c>
    </row>
    <row r="42">
      <c r="A42" t="inlineStr">
        <is>
          <t>jádro</t>
        </is>
      </c>
      <c r="B42" t="inlineStr">
        <is>
          <t>Elektroinstalační drobný materiál</t>
        </is>
      </c>
      <c r="C42" t="inlineStr">
        <is>
          <t>Inst.Spínač 3558 strojek spínače 6-tango schodiště</t>
        </is>
      </c>
      <c r="D42" t="inlineStr">
        <is>
          <t xml:space="preserve">8595017207495 </t>
        </is>
      </c>
      <c r="E42" t="n">
        <v>167</v>
      </c>
      <c r="F42" t="n">
        <v>0</v>
      </c>
      <c r="G42" t="n">
        <v>6</v>
      </c>
      <c r="H42" t="n">
        <v>3</v>
      </c>
      <c r="I42" t="n">
        <v>414</v>
      </c>
      <c r="J42" t="n">
        <v>47</v>
      </c>
      <c r="K42" t="n">
        <v>0</v>
      </c>
      <c r="L42" t="inlineStr">
        <is>
          <t>MERTLÍK, spol. s r.o.</t>
        </is>
      </c>
      <c r="M42" t="inlineStr">
        <is>
          <t>Drogerie/Elektro/Mertlík</t>
        </is>
      </c>
    </row>
    <row r="43">
      <c r="A43" t="inlineStr">
        <is>
          <t>jádro</t>
        </is>
      </c>
      <c r="B43" t="inlineStr">
        <is>
          <t>Elektroinstalační drobný materiál</t>
        </is>
      </c>
      <c r="C43" t="inlineStr">
        <is>
          <t>Flexo šňůra PVC 2x 0,75mm2 s vypínačem, 2m, černá</t>
        </is>
      </c>
      <c r="D43" t="inlineStr">
        <is>
          <t>8595025321329</t>
        </is>
      </c>
      <c r="E43" t="n">
        <v>73.3</v>
      </c>
      <c r="F43" t="n">
        <v>0</v>
      </c>
      <c r="G43" t="n">
        <v>6</v>
      </c>
      <c r="H43" t="n">
        <v>3</v>
      </c>
      <c r="I43" t="n">
        <v>216</v>
      </c>
      <c r="J43" t="n">
        <v>19</v>
      </c>
      <c r="K43" t="n">
        <v>2</v>
      </c>
      <c r="L43" t="inlineStr">
        <is>
          <t>EMOS spol. s r.o.</t>
        </is>
      </c>
      <c r="M43" t="inlineStr">
        <is>
          <t>Drogerie/Elektro/Emos</t>
        </is>
      </c>
    </row>
    <row r="44">
      <c r="A44" t="inlineStr">
        <is>
          <t>jádro</t>
        </is>
      </c>
      <c r="B44" t="inlineStr">
        <is>
          <t>Hubení škůdců</t>
        </is>
      </c>
      <c r="C44" t="inlineStr">
        <is>
          <t>Feroset tetra - destičky na moučné moli</t>
        </is>
      </c>
      <c r="D44" t="inlineStr">
        <is>
          <t>8594003330100</t>
        </is>
      </c>
      <c r="E44" t="n">
        <v>16</v>
      </c>
      <c r="F44" t="n">
        <v>2</v>
      </c>
      <c r="G44" t="n">
        <v>13</v>
      </c>
      <c r="H44" t="n">
        <v>7.5</v>
      </c>
      <c r="I44" t="n">
        <v>88</v>
      </c>
      <c r="J44" t="n">
        <v>53</v>
      </c>
      <c r="K44" t="n">
        <v>101</v>
      </c>
      <c r="L44" t="inlineStr">
        <is>
          <t>Solvent ČR s.r.o.</t>
        </is>
      </c>
      <c r="M44" t="inlineStr">
        <is>
          <t>Drogerie/Drogerie/PKS</t>
        </is>
      </c>
    </row>
    <row r="45">
      <c r="A45" t="inlineStr">
        <is>
          <t>jádro</t>
        </is>
      </c>
      <c r="B45" t="inlineStr">
        <is>
          <t>Hubení škůdců</t>
        </is>
      </c>
      <c r="C45" t="inlineStr">
        <is>
          <t>Pastička na myši,dřevo Turek</t>
        </is>
      </c>
      <c r="D45" t="inlineStr">
        <is>
          <t>8594021250978</t>
        </is>
      </c>
      <c r="E45" t="n">
        <v>16</v>
      </c>
      <c r="F45" t="n">
        <v>10</v>
      </c>
      <c r="G45" t="n">
        <v>4</v>
      </c>
      <c r="H45" t="n">
        <v>7</v>
      </c>
      <c r="I45" t="n">
        <v>93</v>
      </c>
      <c r="J45" t="n">
        <v>94</v>
      </c>
      <c r="K45" t="n">
        <v>101</v>
      </c>
      <c r="L45" t="inlineStr">
        <is>
          <t>Petr Turek</t>
        </is>
      </c>
      <c r="M45" t="inlineStr">
        <is>
          <t>Drogerie/Drogerie/Turek</t>
        </is>
      </c>
    </row>
    <row r="46">
      <c r="A46" t="inlineStr">
        <is>
          <t>jádro</t>
        </is>
      </c>
      <c r="B46" t="inlineStr">
        <is>
          <t>Hubení škůdců</t>
        </is>
      </c>
      <c r="C46" t="inlineStr">
        <is>
          <t>Molitan SOFT PRO 11 cm náhradní váleček</t>
        </is>
      </c>
      <c r="D46" t="inlineStr">
        <is>
          <t>9002588224701</t>
        </is>
      </c>
      <c r="E46" t="n">
        <v>20</v>
      </c>
      <c r="F46" t="n">
        <v>7</v>
      </c>
      <c r="G46" t="n">
        <v>6</v>
      </c>
      <c r="H46" t="n">
        <v>6.5</v>
      </c>
      <c r="I46" t="n">
        <v>106</v>
      </c>
      <c r="J46" t="n">
        <v>64</v>
      </c>
      <c r="K46" t="n">
        <v>15</v>
      </c>
      <c r="L46" t="inlineStr">
        <is>
          <t>Schuller Eh'klar s.r.o.</t>
        </is>
      </c>
      <c r="M46" t="inlineStr">
        <is>
          <t>Drogerie/Technické/Schuller</t>
        </is>
      </c>
    </row>
    <row r="47">
      <c r="A47" t="inlineStr">
        <is>
          <t>jádro</t>
        </is>
      </c>
      <c r="B47" t="inlineStr">
        <is>
          <t>Hubení škůdců</t>
        </is>
      </c>
      <c r="C47" t="inlineStr">
        <is>
          <t>Ecostripe mucholapka classic</t>
        </is>
      </c>
      <c r="D47" t="inlineStr">
        <is>
          <t>8594021250565</t>
        </is>
      </c>
      <c r="E47" t="n">
        <v>7</v>
      </c>
      <c r="F47" t="n">
        <v>0</v>
      </c>
      <c r="G47" t="n">
        <v>7</v>
      </c>
      <c r="H47" t="n">
        <v>3.5</v>
      </c>
      <c r="I47" t="n">
        <v>20</v>
      </c>
      <c r="J47" t="n">
        <v>71</v>
      </c>
      <c r="K47" t="n">
        <v>78</v>
      </c>
      <c r="L47" t="inlineStr">
        <is>
          <t>Solvent ČR s.r.o.</t>
        </is>
      </c>
      <c r="M47" t="inlineStr">
        <is>
          <t>Drogerie/Drogerie/PKS</t>
        </is>
      </c>
    </row>
    <row r="48">
      <c r="A48" t="inlineStr">
        <is>
          <t>jádro</t>
        </is>
      </c>
      <c r="B48" t="inlineStr">
        <is>
          <t>Hubení škůdců</t>
        </is>
      </c>
      <c r="C48" t="inlineStr">
        <is>
          <t xml:space="preserve">Lepinox Plus 3x10g </t>
        </is>
      </c>
      <c r="D48" t="inlineStr">
        <is>
          <t>8594028060105</t>
        </is>
      </c>
      <c r="E48" t="n">
        <v>169</v>
      </c>
      <c r="F48" t="n">
        <v>0</v>
      </c>
      <c r="G48" t="n">
        <v>7</v>
      </c>
      <c r="H48" t="n">
        <v>3.5</v>
      </c>
      <c r="I48" t="n">
        <v>576</v>
      </c>
      <c r="J48" t="n">
        <v>25</v>
      </c>
      <c r="K48" t="n">
        <v>0</v>
      </c>
      <c r="L48" t="inlineStr">
        <is>
          <t>BIOM s.r.o.</t>
        </is>
      </c>
      <c r="M48" t="inlineStr">
        <is>
          <t>Drogerie/Drogerie/Biom</t>
        </is>
      </c>
    </row>
    <row r="49">
      <c r="A49" t="inlineStr">
        <is>
          <t>jádro</t>
        </is>
      </c>
      <c r="B49" t="inlineStr">
        <is>
          <t>Hubení škůdců</t>
        </is>
      </c>
      <c r="C49" t="inlineStr">
        <is>
          <t>Pastička na myši kovová POZINK</t>
        </is>
      </c>
      <c r="D49" t="inlineStr">
        <is>
          <t>8594021251388</t>
        </is>
      </c>
      <c r="E49" t="n">
        <v>22</v>
      </c>
      <c r="F49" t="n">
        <v>1</v>
      </c>
      <c r="G49" t="n">
        <v>6</v>
      </c>
      <c r="H49" t="n">
        <v>3.5</v>
      </c>
      <c r="I49" t="n">
        <v>63</v>
      </c>
      <c r="J49" t="n">
        <v>56</v>
      </c>
      <c r="K49" t="n">
        <v>14</v>
      </c>
      <c r="L49" t="inlineStr">
        <is>
          <t>Petr Turek</t>
        </is>
      </c>
      <c r="M49" t="inlineStr">
        <is>
          <t>Drogerie/Drogerie/Turek</t>
        </is>
      </c>
    </row>
    <row r="50">
      <c r="A50" t="inlineStr">
        <is>
          <t>jádro</t>
        </is>
      </c>
      <c r="B50" t="inlineStr">
        <is>
          <t>Hubení škůdců</t>
        </is>
      </c>
      <c r="C50" t="inlineStr">
        <is>
          <t>Ratimor granule Bromadiolon 150g</t>
        </is>
      </c>
      <c r="D50" t="inlineStr">
        <is>
          <t>3830050609048</t>
        </is>
      </c>
      <c r="E50" t="n">
        <v>42</v>
      </c>
      <c r="F50" t="n">
        <v>4</v>
      </c>
      <c r="G50" t="n">
        <v>3</v>
      </c>
      <c r="H50" t="n">
        <v>3.5</v>
      </c>
      <c r="I50" t="n">
        <v>121</v>
      </c>
      <c r="J50" t="n">
        <v>46</v>
      </c>
      <c r="K50" t="n">
        <v>12</v>
      </c>
      <c r="L50" t="inlineStr">
        <is>
          <t>BARVY A LAKY HOSTIVAŘ, a.s.</t>
        </is>
      </c>
      <c r="M50" t="inlineStr">
        <is>
          <t>Drogerie/Drogerie/BAL</t>
        </is>
      </c>
    </row>
    <row r="51">
      <c r="A51" t="inlineStr">
        <is>
          <t>jádro</t>
        </is>
      </c>
      <c r="B51" t="inlineStr">
        <is>
          <t>Hubení škůdců</t>
        </is>
      </c>
      <c r="C51" t="inlineStr">
        <is>
          <t>Ratimor měkká nástraha 150gr sáček</t>
        </is>
      </c>
      <c r="D51" t="inlineStr">
        <is>
          <t>3830050607891</t>
        </is>
      </c>
      <c r="E51" t="n">
        <v>85</v>
      </c>
      <c r="F51" t="n">
        <v>4</v>
      </c>
      <c r="G51" t="n">
        <v>3</v>
      </c>
      <c r="H51" t="n">
        <v>3.5</v>
      </c>
      <c r="I51" t="n">
        <v>246</v>
      </c>
      <c r="J51" t="n">
        <v>53</v>
      </c>
      <c r="K51" t="n">
        <v>15</v>
      </c>
      <c r="L51" t="inlineStr">
        <is>
          <t>ZC s.r.o.</t>
        </is>
      </c>
      <c r="M51" t="inlineStr">
        <is>
          <t>Drogerie/Drogerie/ZC</t>
        </is>
      </c>
    </row>
    <row r="52">
      <c r="A52" t="inlineStr">
        <is>
          <t>jádro</t>
        </is>
      </c>
      <c r="B52" t="inlineStr">
        <is>
          <t>Hubení škůdců</t>
        </is>
      </c>
      <c r="C52" t="inlineStr">
        <is>
          <t>PAST na myši s návnadou po kuse</t>
        </is>
      </c>
      <c r="D52" t="inlineStr">
        <is>
          <t>8594053180014</t>
        </is>
      </c>
      <c r="E52" t="n">
        <v>35</v>
      </c>
      <c r="F52" t="n">
        <v>2</v>
      </c>
      <c r="G52" t="n">
        <v>4</v>
      </c>
      <c r="H52" t="n">
        <v>3</v>
      </c>
      <c r="I52" t="n">
        <v>87</v>
      </c>
      <c r="J52" t="n">
        <v>52</v>
      </c>
      <c r="K52" t="n">
        <v>17</v>
      </c>
      <c r="L52" t="inlineStr">
        <is>
          <t>M.A.T. Group, s.r.o.</t>
        </is>
      </c>
      <c r="M52" t="inlineStr">
        <is>
          <t>Drogerie/Drogerie/MAT</t>
        </is>
      </c>
    </row>
    <row r="53">
      <c r="A53" t="inlineStr">
        <is>
          <t>jádro</t>
        </is>
      </c>
      <c r="B53" t="inlineStr">
        <is>
          <t>Lepicí a maskovací pásky</t>
        </is>
      </c>
      <c r="C53" t="inlineStr">
        <is>
          <t>páska 50m do 90C 25mm TX</t>
        </is>
      </c>
      <c r="D53" t="inlineStr">
        <is>
          <t>9783598216336</t>
        </is>
      </c>
      <c r="E53" t="n">
        <v>59</v>
      </c>
      <c r="F53" t="n">
        <v>0</v>
      </c>
      <c r="G53" t="n">
        <v>144</v>
      </c>
      <c r="H53" t="n">
        <v>72</v>
      </c>
      <c r="I53" t="n">
        <v>3160</v>
      </c>
      <c r="J53" t="n">
        <v>144</v>
      </c>
      <c r="K53" t="n">
        <v>0</v>
      </c>
      <c r="L53" t="inlineStr">
        <is>
          <t>TAPEX EU s.r.o.</t>
        </is>
      </c>
      <c r="M53" t="inlineStr">
        <is>
          <t>Drogerie/Technické/Tapex</t>
        </is>
      </c>
    </row>
    <row r="54">
      <c r="A54" t="inlineStr">
        <is>
          <t>jádro</t>
        </is>
      </c>
      <c r="B54" t="inlineStr">
        <is>
          <t>Lepicí a maskovací pásky</t>
        </is>
      </c>
      <c r="C54" t="inlineStr">
        <is>
          <t>páska 50m do 60C 48mm  2DNY TX</t>
        </is>
      </c>
      <c r="D54" t="inlineStr">
        <is>
          <t>1000000360097</t>
        </is>
      </c>
      <c r="E54" t="n">
        <v>63</v>
      </c>
      <c r="F54" t="n">
        <v>21</v>
      </c>
      <c r="G54" t="n">
        <v>0</v>
      </c>
      <c r="H54" t="n">
        <v>10.5</v>
      </c>
      <c r="I54" t="n">
        <v>536</v>
      </c>
      <c r="J54" t="n">
        <v>141</v>
      </c>
      <c r="K54" t="n">
        <v>23</v>
      </c>
      <c r="L54" t="inlineStr">
        <is>
          <t>TAPEX EU s.r.o.</t>
        </is>
      </c>
      <c r="M54" t="inlineStr">
        <is>
          <t>Drogerie/Technické/Tapex</t>
        </is>
      </c>
    </row>
    <row r="55">
      <c r="A55" t="inlineStr">
        <is>
          <t>jádro</t>
        </is>
      </c>
      <c r="B55" t="inlineStr">
        <is>
          <t>Lepicí a maskovací pásky</t>
        </is>
      </c>
      <c r="C55" t="inlineStr">
        <is>
          <t>Solight izolační páska, 15mm x 0,13mm x 10m, černá</t>
        </is>
      </c>
      <c r="D55" t="inlineStr">
        <is>
          <t>5906194000961</t>
        </is>
      </c>
      <c r="E55" t="n">
        <v>12</v>
      </c>
      <c r="F55" t="n">
        <v>17</v>
      </c>
      <c r="G55" t="n">
        <v>3</v>
      </c>
      <c r="H55" t="n">
        <v>10</v>
      </c>
      <c r="I55" t="n">
        <v>92</v>
      </c>
      <c r="J55" t="n">
        <v>88</v>
      </c>
      <c r="K55" t="n">
        <v>23</v>
      </c>
      <c r="L55" t="inlineStr">
        <is>
          <t>Solight Holding, s.r.o.</t>
        </is>
      </c>
      <c r="M55" t="inlineStr">
        <is>
          <t>Drogerie/Elektro/Solight</t>
        </is>
      </c>
    </row>
    <row r="56">
      <c r="A56" t="inlineStr">
        <is>
          <t>jádro</t>
        </is>
      </c>
      <c r="B56" t="inlineStr">
        <is>
          <t>Lepicí a maskovací pásky</t>
        </is>
      </c>
      <c r="C56" t="inlineStr">
        <is>
          <t>páska 50m do 60C 30mm 2DNY  TX</t>
        </is>
      </c>
      <c r="D56" t="inlineStr">
        <is>
          <t>1000000079807</t>
        </is>
      </c>
      <c r="E56" t="n">
        <v>39</v>
      </c>
      <c r="F56" t="n">
        <v>11</v>
      </c>
      <c r="G56" t="n">
        <v>7</v>
      </c>
      <c r="H56" t="n">
        <v>9</v>
      </c>
      <c r="I56" t="n">
        <v>282</v>
      </c>
      <c r="J56" t="n">
        <v>141</v>
      </c>
      <c r="K56" t="n">
        <v>24</v>
      </c>
      <c r="L56" t="inlineStr">
        <is>
          <t>TAPEX EU s.r.o.</t>
        </is>
      </c>
      <c r="M56" t="inlineStr">
        <is>
          <t>Drogerie/Technické/Tapex</t>
        </is>
      </c>
    </row>
    <row r="57">
      <c r="A57" t="inlineStr">
        <is>
          <t>jádro</t>
        </is>
      </c>
      <c r="B57" t="inlineStr">
        <is>
          <t>Lepicí a maskovací pásky</t>
        </is>
      </c>
      <c r="C57" t="inlineStr">
        <is>
          <t>páska 50m do 60C 25mm 2DNY  TX</t>
        </is>
      </c>
      <c r="D57" t="inlineStr">
        <is>
          <t>1000000010220</t>
        </is>
      </c>
      <c r="E57" t="n">
        <v>37</v>
      </c>
      <c r="F57" t="n">
        <v>6</v>
      </c>
      <c r="G57" t="n">
        <v>10</v>
      </c>
      <c r="H57" t="n">
        <v>8</v>
      </c>
      <c r="I57" t="n">
        <v>243</v>
      </c>
      <c r="J57" t="n">
        <v>143</v>
      </c>
      <c r="K57" t="n">
        <v>48</v>
      </c>
      <c r="L57" t="inlineStr">
        <is>
          <t>TAPEX EU s.r.o.</t>
        </is>
      </c>
      <c r="M57" t="inlineStr">
        <is>
          <t>Drogerie/Technické/Tapex</t>
        </is>
      </c>
    </row>
    <row r="58">
      <c r="A58" t="inlineStr">
        <is>
          <t>jádro</t>
        </is>
      </c>
      <c r="B58" t="inlineStr">
        <is>
          <t>Lepicí a maskovací pásky</t>
        </is>
      </c>
      <c r="C58" t="inlineStr">
        <is>
          <t>Maskovací krepová páska 60°C 50mmx50m RL</t>
        </is>
      </c>
      <c r="D58" t="inlineStr">
        <is>
          <t>8595100102492</t>
        </is>
      </c>
      <c r="E58" t="n">
        <v>76</v>
      </c>
      <c r="F58" t="n">
        <v>0</v>
      </c>
      <c r="G58" t="n">
        <v>14</v>
      </c>
      <c r="H58" t="n">
        <v>7</v>
      </c>
      <c r="I58" t="n">
        <v>430</v>
      </c>
      <c r="J58" t="n">
        <v>51</v>
      </c>
      <c r="K58" t="n">
        <v>0</v>
      </c>
      <c r="L58" t="inlineStr">
        <is>
          <t>Den Braven Czech and Slovak a.s.</t>
        </is>
      </c>
      <c r="M58" t="inlineStr">
        <is>
          <t>Drogerie/Technické/DEN BRAVEN</t>
        </is>
      </c>
    </row>
    <row r="59">
      <c r="A59" t="inlineStr">
        <is>
          <t>jádro</t>
        </is>
      </c>
      <c r="B59" t="inlineStr">
        <is>
          <t>Lepicí a maskovací pásky</t>
        </is>
      </c>
      <c r="C59" t="inlineStr">
        <is>
          <t>páska 50m do 60C 38mm  2DNY TX</t>
        </is>
      </c>
      <c r="D59" t="inlineStr">
        <is>
          <t>1000000009811</t>
        </is>
      </c>
      <c r="E59" t="n">
        <v>56</v>
      </c>
      <c r="F59" t="n">
        <v>12</v>
      </c>
      <c r="G59" t="n">
        <v>0</v>
      </c>
      <c r="H59" t="n">
        <v>6</v>
      </c>
      <c r="I59" t="n">
        <v>278</v>
      </c>
      <c r="J59" t="n">
        <v>160</v>
      </c>
      <c r="K59" t="n">
        <v>20</v>
      </c>
      <c r="L59" t="inlineStr">
        <is>
          <t>TAPEX EU s.r.o.</t>
        </is>
      </c>
      <c r="M59" t="inlineStr">
        <is>
          <t>Drogerie/Technické/Tapex</t>
        </is>
      </c>
    </row>
    <row r="60">
      <c r="A60" t="inlineStr">
        <is>
          <t>jádro</t>
        </is>
      </c>
      <c r="B60" t="inlineStr">
        <is>
          <t>Lepicí a maskovací pásky</t>
        </is>
      </c>
      <c r="C60" t="inlineStr">
        <is>
          <t>PÁSKA TEFLONOVÁ 0,1X12MM 10M</t>
        </is>
      </c>
      <c r="D60" t="inlineStr">
        <is>
          <t>2000000002439</t>
        </is>
      </c>
      <c r="E60" t="n">
        <v>22</v>
      </c>
      <c r="F60" t="n">
        <v>5</v>
      </c>
      <c r="G60" t="n">
        <v>7</v>
      </c>
      <c r="H60" t="n">
        <v>6</v>
      </c>
      <c r="I60" t="n">
        <v>108</v>
      </c>
      <c r="J60" t="n">
        <v>167</v>
      </c>
      <c r="K60" t="n">
        <v>12</v>
      </c>
      <c r="L60" t="inlineStr">
        <is>
          <t>TRIKER, a.s.</t>
        </is>
      </c>
      <c r="M60" t="inlineStr">
        <is>
          <t>Drogerie/Voda/Triker</t>
        </is>
      </c>
    </row>
    <row r="61">
      <c r="A61" t="inlineStr">
        <is>
          <t>jádro</t>
        </is>
      </c>
      <c r="B61" t="inlineStr">
        <is>
          <t>Lepicí a maskovací pásky</t>
        </is>
      </c>
      <c r="C61" t="inlineStr">
        <is>
          <t>Solight izolační páska, 25mm x 0,13mm x 10m, černá</t>
        </is>
      </c>
      <c r="D61" t="inlineStr">
        <is>
          <t>5906194001913</t>
        </is>
      </c>
      <c r="E61" t="n">
        <v>22</v>
      </c>
      <c r="F61" t="n">
        <v>7</v>
      </c>
      <c r="G61" t="n">
        <v>5</v>
      </c>
      <c r="H61" t="n">
        <v>6</v>
      </c>
      <c r="I61" t="n">
        <v>107</v>
      </c>
      <c r="J61" t="n">
        <v>105</v>
      </c>
      <c r="K61" t="n">
        <v>11</v>
      </c>
      <c r="L61" t="inlineStr">
        <is>
          <t>Solight Holding, s.r.o.</t>
        </is>
      </c>
      <c r="M61" t="inlineStr">
        <is>
          <t>Drogerie/Elektro/Solight</t>
        </is>
      </c>
    </row>
    <row r="62">
      <c r="A62" t="inlineStr">
        <is>
          <t>jádro</t>
        </is>
      </c>
      <c r="B62" t="inlineStr">
        <is>
          <t>Lepicí a maskovací pásky</t>
        </is>
      </c>
      <c r="C62" t="inlineStr">
        <is>
          <t>balící páska BOC 48mm/66m</t>
        </is>
      </c>
      <c r="D62" t="inlineStr">
        <is>
          <t>9002588457291</t>
        </is>
      </c>
      <c r="E62" t="n">
        <v>55</v>
      </c>
      <c r="F62" t="n">
        <v>2</v>
      </c>
      <c r="G62" t="n">
        <v>9</v>
      </c>
      <c r="H62" t="n">
        <v>5.5</v>
      </c>
      <c r="I62" t="n">
        <v>247</v>
      </c>
      <c r="J62" t="n">
        <v>44</v>
      </c>
      <c r="K62" t="n">
        <v>8</v>
      </c>
      <c r="L62" t="inlineStr">
        <is>
          <t>Schuller Eh'klar s.r.o.</t>
        </is>
      </c>
      <c r="M62" t="inlineStr">
        <is>
          <t>Drogerie/Technické/Schuller</t>
        </is>
      </c>
    </row>
    <row r="63">
      <c r="A63" t="inlineStr">
        <is>
          <t>jádro</t>
        </is>
      </c>
      <c r="B63" t="inlineStr">
        <is>
          <t>Lepicí a maskovací pásky</t>
        </is>
      </c>
      <c r="C63" t="inlineStr">
        <is>
          <t>Lepící páska 50x50  univerzální Duck tapex TX</t>
        </is>
      </c>
      <c r="D63" t="inlineStr">
        <is>
          <t>2000000096353</t>
        </is>
      </c>
      <c r="E63" t="n">
        <v>145</v>
      </c>
      <c r="F63" t="n">
        <v>8</v>
      </c>
      <c r="G63" t="n">
        <v>1</v>
      </c>
      <c r="H63" t="n">
        <v>4.5</v>
      </c>
      <c r="I63" t="n">
        <v>453</v>
      </c>
      <c r="J63" t="n">
        <v>101</v>
      </c>
      <c r="K63" t="n">
        <v>4</v>
      </c>
      <c r="L63" t="inlineStr">
        <is>
          <t>TAPEX EU s.r.o.</t>
        </is>
      </c>
      <c r="M63" t="inlineStr">
        <is>
          <t>Drogerie/Technické/Tapex</t>
        </is>
      </c>
    </row>
    <row r="64">
      <c r="A64" t="inlineStr">
        <is>
          <t>jádro</t>
        </is>
      </c>
      <c r="B64" t="inlineStr">
        <is>
          <t>Lepicí a maskovací pásky</t>
        </is>
      </c>
      <c r="C64" t="inlineStr">
        <is>
          <t>Izolační páska hnědá</t>
        </is>
      </c>
      <c r="D64" t="inlineStr">
        <is>
          <t>5906194000947</t>
        </is>
      </c>
      <c r="E64" t="n">
        <v>12</v>
      </c>
      <c r="F64" t="n">
        <v>5</v>
      </c>
      <c r="G64" t="n">
        <v>3</v>
      </c>
      <c r="H64" t="n">
        <v>4</v>
      </c>
      <c r="I64" t="n">
        <v>40</v>
      </c>
      <c r="J64" t="n">
        <v>76</v>
      </c>
      <c r="K64" t="n">
        <v>11</v>
      </c>
      <c r="L64" t="inlineStr">
        <is>
          <t>MERTLÍK, spol. s r.o.</t>
        </is>
      </c>
      <c r="M64" t="inlineStr">
        <is>
          <t>Drogerie/Elektro/Mertlík</t>
        </is>
      </c>
    </row>
    <row r="65">
      <c r="A65" t="inlineStr">
        <is>
          <t>jádro</t>
        </is>
      </c>
      <c r="B65" t="inlineStr">
        <is>
          <t>Lepicí a maskovací pásky</t>
        </is>
      </c>
      <c r="C65" t="inlineStr">
        <is>
          <t>Pásky vázací, 300 x 4,8 mm, 50 ks, bílá</t>
        </is>
      </c>
      <c r="D65" t="inlineStr">
        <is>
          <t>8590804042419</t>
        </is>
      </c>
      <c r="E65" t="n">
        <v>59</v>
      </c>
      <c r="F65" t="n">
        <v>7</v>
      </c>
      <c r="G65" t="n">
        <v>1</v>
      </c>
      <c r="H65" t="n">
        <v>4</v>
      </c>
      <c r="I65" t="n">
        <v>195</v>
      </c>
      <c r="J65" t="n">
        <v>107</v>
      </c>
      <c r="K65" t="n">
        <v>5</v>
      </c>
      <c r="L65" t="inlineStr">
        <is>
          <t>EURO NÁŘADÍ s.r.o.</t>
        </is>
      </c>
      <c r="M65" t="inlineStr">
        <is>
          <t>Drogerie/Technické/Euronářadí</t>
        </is>
      </c>
    </row>
    <row r="66">
      <c r="A66" t="inlineStr">
        <is>
          <t>jádro</t>
        </is>
      </c>
      <c r="B66" t="inlineStr">
        <is>
          <t>Lepicí a maskovací pásky</t>
        </is>
      </c>
      <c r="C66" t="inlineStr">
        <is>
          <t>Pásky vázací, 200 x 3,6 mm, 50 ks, černá (123951)</t>
        </is>
      </c>
      <c r="D66" t="inlineStr">
        <is>
          <t>8590804015826</t>
        </is>
      </c>
      <c r="E66" t="n">
        <v>43</v>
      </c>
      <c r="F66" t="n">
        <v>3</v>
      </c>
      <c r="G66" t="n">
        <v>4</v>
      </c>
      <c r="H66" t="n">
        <v>3.5</v>
      </c>
      <c r="I66" t="n">
        <v>124</v>
      </c>
      <c r="J66" t="n">
        <v>192</v>
      </c>
      <c r="K66" t="n">
        <v>9</v>
      </c>
      <c r="L66" t="inlineStr">
        <is>
          <t>EURO NÁŘADÍ s.r.o.</t>
        </is>
      </c>
      <c r="M66" t="inlineStr">
        <is>
          <t>Drogerie/Technické/Euronářadí</t>
        </is>
      </c>
    </row>
    <row r="67">
      <c r="A67" t="inlineStr">
        <is>
          <t>jádro</t>
        </is>
      </c>
      <c r="B67" t="inlineStr">
        <is>
          <t>Lepicí a maskovací pásky</t>
        </is>
      </c>
      <c r="C67" t="inlineStr">
        <is>
          <t>Pásky vázací, 500 x 7,6 mm, 50ks, bílá</t>
        </is>
      </c>
      <c r="D67" t="inlineStr">
        <is>
          <t>8590804042457</t>
        </is>
      </c>
      <c r="E67" t="n">
        <v>149</v>
      </c>
      <c r="F67" t="n">
        <v>6</v>
      </c>
      <c r="G67" t="n">
        <v>1</v>
      </c>
      <c r="H67" t="n">
        <v>3.5</v>
      </c>
      <c r="I67" t="n">
        <v>435</v>
      </c>
      <c r="J67" t="n">
        <v>73</v>
      </c>
      <c r="K67" t="n">
        <v>9</v>
      </c>
      <c r="L67" t="inlineStr">
        <is>
          <t>EURO NÁŘADÍ s.r.o.</t>
        </is>
      </c>
      <c r="M67" t="inlineStr">
        <is>
          <t>Drogerie/Technické/Euronářadí</t>
        </is>
      </c>
    </row>
    <row r="68">
      <c r="A68" t="inlineStr">
        <is>
          <t>jádro</t>
        </is>
      </c>
      <c r="B68" t="inlineStr">
        <is>
          <t>Lepicí a maskovací pásky</t>
        </is>
      </c>
      <c r="C68" t="inlineStr">
        <is>
          <t xml:space="preserve">TX páska fasádní oranžová bez UV 50m 50mm </t>
        </is>
      </c>
      <c r="D68" t="inlineStr">
        <is>
          <t>1000000009842</t>
        </is>
      </c>
      <c r="E68" t="n">
        <v>175</v>
      </c>
      <c r="F68" t="n">
        <v>5</v>
      </c>
      <c r="G68" t="n">
        <v>2</v>
      </c>
      <c r="H68" t="n">
        <v>3.5</v>
      </c>
      <c r="I68" t="n">
        <v>473</v>
      </c>
      <c r="J68" t="n">
        <v>171</v>
      </c>
      <c r="K68" t="n">
        <v>22</v>
      </c>
      <c r="L68" t="inlineStr">
        <is>
          <t>TAPEX EU s.r.o.</t>
        </is>
      </c>
      <c r="M68" t="inlineStr">
        <is>
          <t>Drogerie/Technické/Tapex</t>
        </is>
      </c>
    </row>
    <row r="69">
      <c r="A69" t="inlineStr">
        <is>
          <t>jádro</t>
        </is>
      </c>
      <c r="B69" t="inlineStr">
        <is>
          <t>Lepicí a maskovací pásky</t>
        </is>
      </c>
      <c r="C69" t="inlineStr">
        <is>
          <t>Solight izolační páska, 15mm x 0,13mm x 10m, červená</t>
        </is>
      </c>
      <c r="D69" t="inlineStr">
        <is>
          <t>5906194000923</t>
        </is>
      </c>
      <c r="E69" t="n">
        <v>12</v>
      </c>
      <c r="F69" t="n">
        <v>7</v>
      </c>
      <c r="G69" t="n">
        <v>0</v>
      </c>
      <c r="H69" t="n">
        <v>3.5</v>
      </c>
      <c r="I69" t="n">
        <v>34</v>
      </c>
      <c r="J69" t="n">
        <v>76</v>
      </c>
      <c r="K69" t="n">
        <v>5</v>
      </c>
      <c r="L69" t="inlineStr">
        <is>
          <t>Solight Holding, s.r.o.</t>
        </is>
      </c>
      <c r="M69" t="inlineStr">
        <is>
          <t>Drogerie/Elektro/Solight</t>
        </is>
      </c>
    </row>
    <row r="70">
      <c r="A70" t="inlineStr">
        <is>
          <t>jádro</t>
        </is>
      </c>
      <c r="B70" t="inlineStr">
        <is>
          <t>Lepicí a maskovací pásky</t>
        </is>
      </c>
      <c r="C70" t="inlineStr">
        <is>
          <t>Páska X-WAY pro 48mm, 10m stříbrná</t>
        </is>
      </c>
      <c r="D70" t="inlineStr">
        <is>
          <t>9002588457796</t>
        </is>
      </c>
      <c r="E70" t="n">
        <v>57</v>
      </c>
      <c r="F70" t="n">
        <v>2</v>
      </c>
      <c r="G70" t="n">
        <v>4</v>
      </c>
      <c r="H70" t="n">
        <v>3</v>
      </c>
      <c r="I70" t="n">
        <v>139</v>
      </c>
      <c r="J70" t="n">
        <v>52</v>
      </c>
      <c r="K70" t="n">
        <v>2</v>
      </c>
      <c r="L70" t="inlineStr">
        <is>
          <t>Schuller Eh'klar s.r.o.</t>
        </is>
      </c>
      <c r="M70" t="inlineStr">
        <is>
          <t>Drogerie/Technické/Schuller</t>
        </is>
      </c>
    </row>
    <row r="71">
      <c r="A71" t="inlineStr">
        <is>
          <t>jádro</t>
        </is>
      </c>
      <c r="B71" t="inlineStr">
        <is>
          <t>Lepicí a maskovací pásky</t>
        </is>
      </c>
      <c r="C71" t="inlineStr">
        <is>
          <t>Pásky vázací, 300 x 4,8 mm, 50ks, černá</t>
        </is>
      </c>
      <c r="D71" t="inlineStr">
        <is>
          <t>8590804042341</t>
        </is>
      </c>
      <c r="E71" t="n">
        <v>59</v>
      </c>
      <c r="F71" t="n">
        <v>6</v>
      </c>
      <c r="G71" t="n">
        <v>0</v>
      </c>
      <c r="H71" t="n">
        <v>3</v>
      </c>
      <c r="I71" t="n">
        <v>146</v>
      </c>
      <c r="J71" t="n">
        <v>112</v>
      </c>
      <c r="K71" t="n">
        <v>1</v>
      </c>
      <c r="L71" t="inlineStr">
        <is>
          <t>EURO NÁŘADÍ s.r.o.</t>
        </is>
      </c>
      <c r="M71" t="inlineStr">
        <is>
          <t>Drogerie/Technické/Euronářadí</t>
        </is>
      </c>
    </row>
    <row r="72">
      <c r="A72" t="inlineStr">
        <is>
          <t>jádro</t>
        </is>
      </c>
      <c r="B72" t="inlineStr">
        <is>
          <t>Lepicí a maskovací pásky</t>
        </is>
      </c>
      <c r="C72" t="inlineStr">
        <is>
          <t>Lepicí páska / Izolepa 48mmx66 Transparent CZ-SK-HU-SI</t>
        </is>
      </c>
      <c r="D72" t="inlineStr">
        <is>
          <t>8595100123923</t>
        </is>
      </c>
      <c r="E72" t="n">
        <v>39</v>
      </c>
      <c r="F72" t="n">
        <v>0</v>
      </c>
      <c r="G72" t="n">
        <v>6</v>
      </c>
      <c r="H72" t="n">
        <v>3</v>
      </c>
      <c r="I72" t="n">
        <v>97</v>
      </c>
      <c r="J72" t="n">
        <v>130</v>
      </c>
      <c r="K72" t="n">
        <v>0</v>
      </c>
      <c r="L72" t="inlineStr">
        <is>
          <t>Den Braven Czech and Slovak a.s.</t>
        </is>
      </c>
      <c r="M72" t="inlineStr">
        <is>
          <t>Drogerie/Technické/DEN BRAVEN</t>
        </is>
      </c>
    </row>
    <row r="73">
      <c r="A73" t="inlineStr">
        <is>
          <t>jádro</t>
        </is>
      </c>
      <c r="B73" t="inlineStr">
        <is>
          <t>Lepidla, tmely, silikony, PU pěny</t>
        </is>
      </c>
      <c r="C73" t="inlineStr">
        <is>
          <t>MAMUT GLUE (High tack) 290ml bílý</t>
        </is>
      </c>
      <c r="D73" t="inlineStr">
        <is>
          <t>8595100116659</t>
        </is>
      </c>
      <c r="E73" t="n">
        <v>199</v>
      </c>
      <c r="F73" t="n">
        <v>29</v>
      </c>
      <c r="G73" t="n">
        <v>23</v>
      </c>
      <c r="H73" t="n">
        <v>26</v>
      </c>
      <c r="I73" t="n">
        <v>4212</v>
      </c>
      <c r="J73" t="n">
        <v>46</v>
      </c>
      <c r="K73" t="n">
        <v>15</v>
      </c>
      <c r="L73" t="inlineStr">
        <is>
          <t>Den Braven Czech and Slovak a.s.</t>
        </is>
      </c>
      <c r="M73" t="inlineStr">
        <is>
          <t>Drogerie/Technické/DEN BRAVEN</t>
        </is>
      </c>
    </row>
    <row r="74">
      <c r="A74" t="inlineStr">
        <is>
          <t>jádro</t>
        </is>
      </c>
      <c r="B74" t="inlineStr">
        <is>
          <t>Lepidla, tmely, silikony, PU pěny</t>
        </is>
      </c>
      <c r="C74" t="inlineStr">
        <is>
          <t>Univerzální silikon 280ml transparent SL</t>
        </is>
      </c>
      <c r="D74" t="inlineStr">
        <is>
          <t>8595100110893</t>
        </is>
      </c>
      <c r="E74" t="n">
        <v>149</v>
      </c>
      <c r="F74" t="n">
        <v>6</v>
      </c>
      <c r="G74" t="n">
        <v>11</v>
      </c>
      <c r="H74" t="n">
        <v>8.5</v>
      </c>
      <c r="I74" t="n">
        <v>1028</v>
      </c>
      <c r="J74" t="n">
        <v>87</v>
      </c>
      <c r="K74" t="n">
        <v>9</v>
      </c>
      <c r="L74" t="inlineStr">
        <is>
          <t>Den Braven Czech and Slovak a.s.</t>
        </is>
      </c>
      <c r="M74" t="inlineStr">
        <is>
          <t>Drogerie/Technické/DEN BRAVEN</t>
        </is>
      </c>
    </row>
    <row r="75">
      <c r="A75" t="inlineStr">
        <is>
          <t>jádro</t>
        </is>
      </c>
      <c r="B75" t="inlineStr">
        <is>
          <t>Lepidla, tmely, silikony, PU pěny</t>
        </is>
      </c>
      <c r="C75" t="inlineStr">
        <is>
          <t>Pattex pěna 500ml control+ 1+1</t>
        </is>
      </c>
      <c r="D75" t="inlineStr">
        <is>
          <t>9000101134209</t>
        </is>
      </c>
      <c r="E75" t="n">
        <v>169</v>
      </c>
      <c r="F75" t="n">
        <v>6</v>
      </c>
      <c r="G75" t="n">
        <v>6</v>
      </c>
      <c r="H75" t="n">
        <v>6</v>
      </c>
      <c r="I75" t="n">
        <v>455</v>
      </c>
      <c r="J75" t="n">
        <v>366</v>
      </c>
      <c r="K75" t="n">
        <v>8</v>
      </c>
      <c r="L75" t="inlineStr">
        <is>
          <t>Solvent ČR s.r.o.</t>
        </is>
      </c>
      <c r="M75" t="inlineStr">
        <is>
          <t>Drogerie/Technické/PKS</t>
        </is>
      </c>
    </row>
    <row r="76">
      <c r="A76" t="inlineStr">
        <is>
          <t>jádro</t>
        </is>
      </c>
      <c r="B76" t="inlineStr">
        <is>
          <t>Lepidla, tmely, silikony, PU pěny</t>
        </is>
      </c>
      <c r="C76" t="inlineStr">
        <is>
          <t>MAMUT GLUE (High tack) 290ml černý</t>
        </is>
      </c>
      <c r="D76" t="inlineStr">
        <is>
          <t>8595100120083</t>
        </is>
      </c>
      <c r="E76" t="n">
        <v>199</v>
      </c>
      <c r="F76" t="n">
        <v>5</v>
      </c>
      <c r="G76" t="n">
        <v>6</v>
      </c>
      <c r="H76" t="n">
        <v>5.5</v>
      </c>
      <c r="I76" t="n">
        <v>891</v>
      </c>
      <c r="J76" t="n">
        <v>42</v>
      </c>
      <c r="K76" t="n">
        <v>10</v>
      </c>
      <c r="L76" t="inlineStr">
        <is>
          <t>Den Braven Czech and Slovak a.s.</t>
        </is>
      </c>
      <c r="M76" t="inlineStr">
        <is>
          <t>Drogerie/Technické/DEN BRAVEN</t>
        </is>
      </c>
    </row>
    <row r="77">
      <c r="A77" t="inlineStr">
        <is>
          <t>jádro</t>
        </is>
      </c>
      <c r="B77" t="inlineStr">
        <is>
          <t>Lepidla, tmely, silikony, PU pěny</t>
        </is>
      </c>
      <c r="C77" t="inlineStr">
        <is>
          <t>Brous. tmel na dř. 250 g - smrk RL</t>
        </is>
      </c>
      <c r="D77" t="inlineStr">
        <is>
          <t>8595100111821</t>
        </is>
      </c>
      <c r="E77" t="n">
        <v>62</v>
      </c>
      <c r="F77" t="n">
        <v>5</v>
      </c>
      <c r="G77" t="n">
        <v>5</v>
      </c>
      <c r="H77" t="n">
        <v>5</v>
      </c>
      <c r="I77" t="n">
        <v>247</v>
      </c>
      <c r="J77" t="n">
        <v>60</v>
      </c>
      <c r="K77" t="n">
        <v>6</v>
      </c>
      <c r="L77" t="inlineStr">
        <is>
          <t>Den Braven Czech and Slovak a.s.</t>
        </is>
      </c>
      <c r="M77" t="inlineStr">
        <is>
          <t>Drogerie/Technické/DEN BRAVEN</t>
        </is>
      </c>
    </row>
    <row r="78">
      <c r="A78" t="inlineStr">
        <is>
          <t>jádro</t>
        </is>
      </c>
      <c r="B78" t="inlineStr">
        <is>
          <t>Lepidla, tmely, silikony, PU pěny</t>
        </is>
      </c>
      <c r="C78" t="inlineStr">
        <is>
          <t>Mamut glue 25ml bílá</t>
        </is>
      </c>
      <c r="D78" t="inlineStr">
        <is>
          <t>8595100126870</t>
        </is>
      </c>
      <c r="E78" t="n">
        <v>75</v>
      </c>
      <c r="F78" t="n">
        <v>6</v>
      </c>
      <c r="G78" t="n">
        <v>4</v>
      </c>
      <c r="H78" t="n">
        <v>5</v>
      </c>
      <c r="I78" t="n">
        <v>304</v>
      </c>
      <c r="J78" t="n">
        <v>48</v>
      </c>
      <c r="K78" t="n">
        <v>6</v>
      </c>
      <c r="L78" t="inlineStr">
        <is>
          <t>Den Braven Czech and Slovak a.s.</t>
        </is>
      </c>
      <c r="M78" t="inlineStr">
        <is>
          <t>Drogerie/Technické/DEN BRAVEN</t>
        </is>
      </c>
    </row>
    <row r="79">
      <c r="A79" t="inlineStr">
        <is>
          <t>jádro</t>
        </is>
      </c>
      <c r="B79" t="inlineStr">
        <is>
          <t>Lepidla, tmely, silikony, PU pěny</t>
        </is>
      </c>
      <c r="C79" t="inlineStr">
        <is>
          <t>Akryl Exteriér 310ml bílý</t>
        </is>
      </c>
      <c r="D79" t="inlineStr">
        <is>
          <t>8595100108234</t>
        </is>
      </c>
      <c r="E79" t="n">
        <v>95</v>
      </c>
      <c r="F79" t="n">
        <v>6</v>
      </c>
      <c r="G79" t="n">
        <v>3</v>
      </c>
      <c r="H79" t="n">
        <v>4.5</v>
      </c>
      <c r="I79" t="n">
        <v>342</v>
      </c>
      <c r="J79" t="n">
        <v>69</v>
      </c>
      <c r="K79" t="n">
        <v>6</v>
      </c>
      <c r="L79" t="inlineStr">
        <is>
          <t>Den Braven Czech and Slovak a.s.</t>
        </is>
      </c>
      <c r="M79" t="inlineStr">
        <is>
          <t>Drogerie/Technické/DEN BRAVEN</t>
        </is>
      </c>
    </row>
    <row r="80">
      <c r="A80" t="inlineStr">
        <is>
          <t>jádro</t>
        </is>
      </c>
      <c r="B80" t="inlineStr">
        <is>
          <t>Lepidla, tmely, silikony, PU pěny</t>
        </is>
      </c>
      <c r="C80" t="inlineStr">
        <is>
          <t>Sanitární silikon 280ml bílý SL</t>
        </is>
      </c>
      <c r="D80" t="inlineStr">
        <is>
          <t>8595100109781</t>
        </is>
      </c>
      <c r="E80" t="n">
        <v>159</v>
      </c>
      <c r="F80" t="n">
        <v>7</v>
      </c>
      <c r="G80" t="n">
        <v>2</v>
      </c>
      <c r="H80" t="n">
        <v>4.5</v>
      </c>
      <c r="I80" t="n">
        <v>591</v>
      </c>
      <c r="J80" t="n">
        <v>83</v>
      </c>
      <c r="K80" t="n">
        <v>13</v>
      </c>
      <c r="L80" t="inlineStr">
        <is>
          <t>Den Braven Czech and Slovak a.s.</t>
        </is>
      </c>
      <c r="M80" t="inlineStr">
        <is>
          <t>Drogerie/Technické/DEN BRAVEN</t>
        </is>
      </c>
    </row>
    <row r="81">
      <c r="A81" t="inlineStr">
        <is>
          <t>jádro</t>
        </is>
      </c>
      <c r="B81" t="inlineStr">
        <is>
          <t>Lepidla, tmely, silikony, PU pěny</t>
        </is>
      </c>
      <c r="C81" t="inlineStr">
        <is>
          <t>Nízkoexpanzní pěna pistolová 750ml Green Line</t>
        </is>
      </c>
      <c r="D81" t="inlineStr">
        <is>
          <t>8595100159335</t>
        </is>
      </c>
      <c r="E81" t="n">
        <v>179</v>
      </c>
      <c r="F81" t="n">
        <v>5</v>
      </c>
      <c r="G81" t="n">
        <v>4</v>
      </c>
      <c r="H81" t="n">
        <v>4.5</v>
      </c>
      <c r="I81" t="n">
        <v>645</v>
      </c>
      <c r="J81" t="n">
        <v>79</v>
      </c>
      <c r="K81" t="n">
        <v>10</v>
      </c>
      <c r="L81" t="inlineStr">
        <is>
          <t>Den Braven Czech and Slovak a.s.</t>
        </is>
      </c>
      <c r="M81" t="inlineStr">
        <is>
          <t>Drogerie/Technické/DEN BRAVEN</t>
        </is>
      </c>
    </row>
    <row r="82">
      <c r="A82" t="inlineStr">
        <is>
          <t>jádro</t>
        </is>
      </c>
      <c r="B82" t="inlineStr">
        <is>
          <t>Lepidla, tmely, silikony, PU pěny</t>
        </is>
      </c>
      <c r="C82" t="inlineStr">
        <is>
          <t>Aplikační špička  na kartuše 5ks PERDIX</t>
        </is>
      </c>
      <c r="D82" t="inlineStr">
        <is>
          <t>8591256049322</t>
        </is>
      </c>
      <c r="E82" t="n">
        <v>44</v>
      </c>
      <c r="F82" t="n">
        <v>7</v>
      </c>
      <c r="G82" t="n">
        <v>1</v>
      </c>
      <c r="H82" t="n">
        <v>4</v>
      </c>
      <c r="I82" t="n">
        <v>144</v>
      </c>
      <c r="J82" t="n">
        <v>76</v>
      </c>
      <c r="K82" t="n">
        <v>0</v>
      </c>
      <c r="L82" t="inlineStr">
        <is>
          <t>DISTRIMO s.r.o.</t>
        </is>
      </c>
      <c r="M82" t="inlineStr">
        <is>
          <t>Drogerie/Technické/Distrimo</t>
        </is>
      </c>
    </row>
    <row r="83">
      <c r="A83" t="inlineStr">
        <is>
          <t>jádro</t>
        </is>
      </c>
      <c r="B83" t="inlineStr">
        <is>
          <t>Lepidla, tmely, silikony, PU pěny</t>
        </is>
      </c>
      <c r="C83" t="inlineStr">
        <is>
          <t>Tmel 250 skelné vlákno,750g</t>
        </is>
      </c>
      <c r="D83" t="inlineStr">
        <is>
          <t>5203473250629</t>
        </is>
      </c>
      <c r="E83" t="n">
        <v>229</v>
      </c>
      <c r="F83" t="n">
        <v>4</v>
      </c>
      <c r="G83" t="n">
        <v>4</v>
      </c>
      <c r="H83" t="n">
        <v>4</v>
      </c>
      <c r="I83" t="n">
        <v>721</v>
      </c>
      <c r="J83" t="n">
        <v>59</v>
      </c>
      <c r="K83" t="n">
        <v>2</v>
      </c>
      <c r="L83" t="inlineStr">
        <is>
          <t>BODY COLOR, s.r.o.</t>
        </is>
      </c>
      <c r="M83" t="inlineStr">
        <is>
          <t>Drogerie/Technické/BODY</t>
        </is>
      </c>
    </row>
    <row r="84">
      <c r="A84" t="inlineStr">
        <is>
          <t>jádro</t>
        </is>
      </c>
      <c r="B84" t="inlineStr">
        <is>
          <t>Lepidla, tmely, silikony, PU pěny</t>
        </is>
      </c>
      <c r="C84" t="inlineStr">
        <is>
          <t>Montážní pěna trubičková 750ml SL NEW</t>
        </is>
      </c>
      <c r="D84" t="inlineStr">
        <is>
          <t>8595100105707</t>
        </is>
      </c>
      <c r="E84" t="n">
        <v>169</v>
      </c>
      <c r="F84" t="n">
        <v>5</v>
      </c>
      <c r="G84" t="n">
        <v>3</v>
      </c>
      <c r="H84" t="n">
        <v>4</v>
      </c>
      <c r="I84" t="n">
        <v>559</v>
      </c>
      <c r="J84" t="n">
        <v>74</v>
      </c>
      <c r="K84" t="n">
        <v>16</v>
      </c>
      <c r="L84" t="inlineStr">
        <is>
          <t>Den Braven Czech and Slovak a.s.</t>
        </is>
      </c>
      <c r="M84" t="inlineStr">
        <is>
          <t>Drogerie/Technické/DEN BRAVEN</t>
        </is>
      </c>
    </row>
    <row r="85">
      <c r="A85" t="inlineStr">
        <is>
          <t>jádro</t>
        </is>
      </c>
      <c r="B85" t="inlineStr">
        <is>
          <t>Lepidla, tmely, silikony, PU pěny</t>
        </is>
      </c>
      <c r="C85" t="inlineStr">
        <is>
          <t>MAMUT GLUE CRYSTAL 290ml transparent</t>
        </is>
      </c>
      <c r="D85" t="inlineStr">
        <is>
          <t>8595100145369</t>
        </is>
      </c>
      <c r="E85" t="n">
        <v>235</v>
      </c>
      <c r="F85" t="n">
        <v>4</v>
      </c>
      <c r="G85" t="n">
        <v>4</v>
      </c>
      <c r="H85" t="n">
        <v>4</v>
      </c>
      <c r="I85" t="n">
        <v>748</v>
      </c>
      <c r="J85" t="n">
        <v>61</v>
      </c>
      <c r="K85" t="n">
        <v>3</v>
      </c>
      <c r="L85" t="inlineStr">
        <is>
          <t>Den Braven Czech and Slovak a.s.</t>
        </is>
      </c>
      <c r="M85" t="inlineStr">
        <is>
          <t>Drogerie/Technické/DEN BRAVEN</t>
        </is>
      </c>
    </row>
    <row r="86">
      <c r="A86" t="inlineStr">
        <is>
          <t>jádro</t>
        </is>
      </c>
      <c r="B86" t="inlineStr">
        <is>
          <t>Lepidla, tmely, silikony, PU pěny</t>
        </is>
      </c>
      <c r="C86" t="inlineStr">
        <is>
          <t>MAMUT GLUE MULTI 290ml šedý</t>
        </is>
      </c>
      <c r="D86" t="inlineStr">
        <is>
          <t>8595100155603</t>
        </is>
      </c>
      <c r="E86" t="n">
        <v>221</v>
      </c>
      <c r="F86" t="n">
        <v>2</v>
      </c>
      <c r="G86" t="n">
        <v>6</v>
      </c>
      <c r="H86" t="n">
        <v>4</v>
      </c>
      <c r="I86" t="n">
        <v>701</v>
      </c>
      <c r="J86" t="n">
        <v>47</v>
      </c>
      <c r="K86" t="n">
        <v>9</v>
      </c>
      <c r="L86" t="inlineStr">
        <is>
          <t>Den Braven Czech and Slovak a.s.</t>
        </is>
      </c>
      <c r="M86" t="inlineStr">
        <is>
          <t>Drogerie/Technické/DEN BRAVEN</t>
        </is>
      </c>
    </row>
    <row r="87">
      <c r="A87" t="inlineStr">
        <is>
          <t>jádro</t>
        </is>
      </c>
      <c r="B87" t="inlineStr">
        <is>
          <t>Lepidla, tmely, silikony, PU pěny</t>
        </is>
      </c>
      <c r="C87" t="inlineStr">
        <is>
          <t>Těsnící guma K profil 9mmx6m hnědý</t>
        </is>
      </c>
      <c r="D87" t="inlineStr">
        <is>
          <t>8595100141361</t>
        </is>
      </c>
      <c r="E87" t="n">
        <v>93</v>
      </c>
      <c r="F87" t="n">
        <v>7</v>
      </c>
      <c r="G87" t="n">
        <v>0</v>
      </c>
      <c r="H87" t="n">
        <v>3.5</v>
      </c>
      <c r="I87" t="n">
        <v>261</v>
      </c>
      <c r="J87" t="n">
        <v>70</v>
      </c>
      <c r="K87" t="n">
        <v>-1</v>
      </c>
      <c r="L87" t="inlineStr">
        <is>
          <t>Den Braven Czech and Slovak a.s.</t>
        </is>
      </c>
      <c r="M87" t="inlineStr">
        <is>
          <t>Drogerie/Technické/DEN BRAVEN</t>
        </is>
      </c>
    </row>
    <row r="88">
      <c r="A88" t="inlineStr">
        <is>
          <t>jádro</t>
        </is>
      </c>
      <c r="B88" t="inlineStr">
        <is>
          <t>Lepidla, tmely, silikony, PU pěny</t>
        </is>
      </c>
      <c r="C88" t="inlineStr">
        <is>
          <t>Lehčený brousitelný tmel QUALY FILL 500ml</t>
        </is>
      </c>
      <c r="D88" t="inlineStr">
        <is>
          <t>8595100153166</t>
        </is>
      </c>
      <c r="E88" t="n">
        <v>149</v>
      </c>
      <c r="F88" t="n">
        <v>2</v>
      </c>
      <c r="G88" t="n">
        <v>5</v>
      </c>
      <c r="H88" t="n">
        <v>3.5</v>
      </c>
      <c r="I88" t="n">
        <v>417</v>
      </c>
      <c r="J88" t="n">
        <v>50</v>
      </c>
      <c r="K88" t="n">
        <v>3</v>
      </c>
      <c r="L88" t="inlineStr">
        <is>
          <t>Den Braven Czech and Slovak a.s.</t>
        </is>
      </c>
      <c r="M88" t="inlineStr">
        <is>
          <t>Drogerie/Technické/DEN BRAVEN</t>
        </is>
      </c>
    </row>
    <row r="89">
      <c r="A89" t="inlineStr">
        <is>
          <t>jádro</t>
        </is>
      </c>
      <c r="B89" t="inlineStr">
        <is>
          <t>Lepidla, tmely, silikony, PU pěny</t>
        </is>
      </c>
      <c r="C89" t="inlineStr">
        <is>
          <t>Akrylový tmel 310ml bílý RL</t>
        </is>
      </c>
      <c r="D89" t="inlineStr">
        <is>
          <t>8711595025959</t>
        </is>
      </c>
      <c r="E89" t="n">
        <v>73</v>
      </c>
      <c r="F89" t="n">
        <v>0</v>
      </c>
      <c r="G89" t="n">
        <v>7</v>
      </c>
      <c r="H89" t="n">
        <v>3.5</v>
      </c>
      <c r="I89" t="n">
        <v>203</v>
      </c>
      <c r="J89" t="n">
        <v>85</v>
      </c>
      <c r="K89" t="n">
        <v>6</v>
      </c>
      <c r="L89" t="inlineStr">
        <is>
          <t>Den Braven Czech and Slovak a.s.</t>
        </is>
      </c>
      <c r="M89" t="inlineStr">
        <is>
          <t>Drogerie/Technické/DEN BRAVEN</t>
        </is>
      </c>
    </row>
    <row r="90">
      <c r="A90" t="inlineStr">
        <is>
          <t>jádro</t>
        </is>
      </c>
      <c r="B90" t="inlineStr">
        <is>
          <t>Lepidla, tmely, silikony, PU pěny</t>
        </is>
      </c>
      <c r="C90" t="inlineStr">
        <is>
          <t>Akrylový štukový tmel 310ml bílý RL</t>
        </is>
      </c>
      <c r="D90" t="inlineStr">
        <is>
          <t>8711595028707</t>
        </is>
      </c>
      <c r="E90" t="n">
        <v>125</v>
      </c>
      <c r="F90" t="n">
        <v>3</v>
      </c>
      <c r="G90" t="n">
        <v>4</v>
      </c>
      <c r="H90" t="n">
        <v>3.5</v>
      </c>
      <c r="I90" t="n">
        <v>362</v>
      </c>
      <c r="J90" t="n">
        <v>87</v>
      </c>
      <c r="K90" t="n">
        <v>10</v>
      </c>
      <c r="L90" t="inlineStr">
        <is>
          <t>Den Braven Czech and Slovak a.s.</t>
        </is>
      </c>
      <c r="M90" t="inlineStr">
        <is>
          <t>Drogerie/Technické/DEN BRAVEN</t>
        </is>
      </c>
    </row>
    <row r="91">
      <c r="A91" t="inlineStr">
        <is>
          <t>jádro</t>
        </is>
      </c>
      <c r="B91" t="inlineStr">
        <is>
          <t>Lepidla, tmely, silikony, PU pěny</t>
        </is>
      </c>
      <c r="C91" t="inlineStr">
        <is>
          <t>Sanitární silikon 280ml transparetní SL</t>
        </is>
      </c>
      <c r="D91" t="inlineStr">
        <is>
          <t>8595100109774</t>
        </is>
      </c>
      <c r="E91" t="n">
        <v>159</v>
      </c>
      <c r="F91" t="n">
        <v>2</v>
      </c>
      <c r="G91" t="n">
        <v>5</v>
      </c>
      <c r="H91" t="n">
        <v>3.5</v>
      </c>
      <c r="I91" t="n">
        <v>460</v>
      </c>
      <c r="J91" t="n">
        <v>74</v>
      </c>
      <c r="K91" t="n">
        <v>2</v>
      </c>
      <c r="L91" t="inlineStr">
        <is>
          <t>Den Braven Czech and Slovak a.s.</t>
        </is>
      </c>
      <c r="M91" t="inlineStr">
        <is>
          <t>Drogerie/Technické/DEN BRAVEN</t>
        </is>
      </c>
    </row>
    <row r="92">
      <c r="A92" t="inlineStr">
        <is>
          <t>jádro</t>
        </is>
      </c>
      <c r="B92" t="inlineStr">
        <is>
          <t>Lepidla, tmely, silikony, PU pěny</t>
        </is>
      </c>
      <c r="C92" t="inlineStr">
        <is>
          <t>Loctite gel vteřinové 2 gr</t>
        </is>
      </c>
      <c r="D92" t="inlineStr">
        <is>
          <t>9000100223386</t>
        </is>
      </c>
      <c r="E92" t="n">
        <v>59</v>
      </c>
      <c r="F92" t="n">
        <v>5</v>
      </c>
      <c r="G92" t="n">
        <v>2</v>
      </c>
      <c r="H92" t="n">
        <v>3.5</v>
      </c>
      <c r="I92" t="n">
        <v>171</v>
      </c>
      <c r="J92" t="n">
        <v>39</v>
      </c>
      <c r="K92" t="n">
        <v>6</v>
      </c>
      <c r="L92" t="inlineStr">
        <is>
          <t>Petr Zachař</t>
        </is>
      </c>
      <c r="M92" t="inlineStr">
        <is>
          <t>Drogerie/Technické/Zachař</t>
        </is>
      </c>
    </row>
    <row r="93">
      <c r="A93" t="inlineStr">
        <is>
          <t>jádro</t>
        </is>
      </c>
      <c r="B93" t="inlineStr">
        <is>
          <t>Lepidla, tmely, silikony, PU pěny</t>
        </is>
      </c>
      <c r="C93" t="inlineStr">
        <is>
          <t>MAMUT GLUE TOTAL 290ml white</t>
        </is>
      </c>
      <c r="D93" t="inlineStr">
        <is>
          <t>8595100145352</t>
        </is>
      </c>
      <c r="E93" t="n">
        <v>249</v>
      </c>
      <c r="F93" t="n">
        <v>2</v>
      </c>
      <c r="G93" t="n">
        <v>5</v>
      </c>
      <c r="H93" t="n">
        <v>3.5</v>
      </c>
      <c r="I93" t="n">
        <v>710</v>
      </c>
      <c r="J93" t="n">
        <v>56</v>
      </c>
      <c r="K93" t="n">
        <v>5</v>
      </c>
      <c r="L93" t="inlineStr">
        <is>
          <t>Den Braven Czech and Slovak a.s.</t>
        </is>
      </c>
      <c r="M93" t="inlineStr">
        <is>
          <t>Drogerie/Technické/DEN BRAVEN</t>
        </is>
      </c>
    </row>
    <row r="94">
      <c r="A94" t="inlineStr">
        <is>
          <t>jádro</t>
        </is>
      </c>
      <c r="B94" t="inlineStr">
        <is>
          <t>Lepidla, tmely, silikony, PU pěny</t>
        </is>
      </c>
      <c r="C94" t="inlineStr">
        <is>
          <t>Lepidlo ve spreji na bázi butylu 400ml</t>
        </is>
      </c>
      <c r="D94" t="inlineStr">
        <is>
          <t>8595100159410</t>
        </is>
      </c>
      <c r="E94" t="n">
        <v>289</v>
      </c>
      <c r="F94" t="n">
        <v>6</v>
      </c>
      <c r="G94" t="n">
        <v>1</v>
      </c>
      <c r="H94" t="n">
        <v>3.5</v>
      </c>
      <c r="I94" t="n">
        <v>830</v>
      </c>
      <c r="J94" t="n">
        <v>72</v>
      </c>
      <c r="K94" t="n">
        <v>8</v>
      </c>
      <c r="L94" t="inlineStr">
        <is>
          <t>Den Braven Czech and Slovak a.s.</t>
        </is>
      </c>
      <c r="M94" t="inlineStr">
        <is>
          <t>Drogerie/Technické/DEN BRAVEN</t>
        </is>
      </c>
    </row>
    <row r="95">
      <c r="A95" t="inlineStr">
        <is>
          <t>jádro</t>
        </is>
      </c>
      <c r="B95" t="inlineStr">
        <is>
          <t>Lepidla, tmely, silikony, PU pěny</t>
        </is>
      </c>
      <c r="C95" t="inlineStr">
        <is>
          <t>Těsnící guma D profil 9mmx6m HNĚDÁ</t>
        </is>
      </c>
      <c r="D95" t="inlineStr">
        <is>
          <t>8595100141408</t>
        </is>
      </c>
      <c r="E95" t="n">
        <v>99</v>
      </c>
      <c r="F95" t="n">
        <v>3</v>
      </c>
      <c r="G95" t="n">
        <v>3</v>
      </c>
      <c r="H95" t="n">
        <v>3</v>
      </c>
      <c r="I95" t="n">
        <v>237</v>
      </c>
      <c r="J95" t="n">
        <v>56</v>
      </c>
      <c r="K95" t="n">
        <v>-2</v>
      </c>
      <c r="L95" t="inlineStr">
        <is>
          <t>Den Braven Czech and Slovak a.s.</t>
        </is>
      </c>
      <c r="M95" t="inlineStr">
        <is>
          <t>Drogerie/Technické/DEN BRAVEN</t>
        </is>
      </c>
    </row>
    <row r="96">
      <c r="A96" t="inlineStr">
        <is>
          <t>jádro</t>
        </is>
      </c>
      <c r="B96" t="inlineStr">
        <is>
          <t>Lepidla, tmely, silikony, PU pěny</t>
        </is>
      </c>
      <c r="C96" t="inlineStr">
        <is>
          <t>LEPIDLO PVC NOVOLEP 130ML (TUBA)</t>
        </is>
      </c>
      <c r="D96" t="inlineStr">
        <is>
          <t>8585043210507</t>
        </is>
      </c>
      <c r="E96" t="n">
        <v>69</v>
      </c>
      <c r="F96" t="n">
        <v>3</v>
      </c>
      <c r="G96" t="n">
        <v>3</v>
      </c>
      <c r="H96" t="n">
        <v>3</v>
      </c>
      <c r="I96" t="n">
        <v>171</v>
      </c>
      <c r="J96" t="n">
        <v>50</v>
      </c>
      <c r="K96" t="n">
        <v>6</v>
      </c>
      <c r="L96" t="inlineStr">
        <is>
          <t>TRIKER, a.s.</t>
        </is>
      </c>
      <c r="M96" t="inlineStr">
        <is>
          <t>Drogerie/Voda/Triker</t>
        </is>
      </c>
    </row>
    <row r="97">
      <c r="A97" t="inlineStr">
        <is>
          <t>jádro</t>
        </is>
      </c>
      <c r="B97" t="inlineStr">
        <is>
          <t>Lepidla, tmely, silikony, PU pěny</t>
        </is>
      </c>
      <c r="C97" t="inlineStr">
        <is>
          <t>Akvaristické lepidlo 280ml transp. RL CZ-SK-HU</t>
        </is>
      </c>
      <c r="D97" t="inlineStr">
        <is>
          <t>8711595025997</t>
        </is>
      </c>
      <c r="E97" t="n">
        <v>152</v>
      </c>
      <c r="F97" t="n">
        <v>2</v>
      </c>
      <c r="G97" t="n">
        <v>4</v>
      </c>
      <c r="H97" t="n">
        <v>3</v>
      </c>
      <c r="I97" t="n">
        <v>612</v>
      </c>
      <c r="J97" t="n">
        <v>12</v>
      </c>
      <c r="K97" t="n">
        <v>0</v>
      </c>
      <c r="L97" t="inlineStr">
        <is>
          <t>Den Braven Czech and Slovak a.s.</t>
        </is>
      </c>
      <c r="M97" t="inlineStr">
        <is>
          <t>Drogerie/Technické/DEN BRAVEN</t>
        </is>
      </c>
    </row>
    <row r="98">
      <c r="A98" t="inlineStr">
        <is>
          <t>jádro</t>
        </is>
      </c>
      <c r="B98" t="inlineStr">
        <is>
          <t>Lepidla, tmely, silikony, PU pěny</t>
        </is>
      </c>
      <c r="C98" t="inlineStr">
        <is>
          <t>Montážní pěna trubičková 750ml Green line</t>
        </is>
      </c>
      <c r="D98" t="inlineStr">
        <is>
          <t>8595100132826</t>
        </is>
      </c>
      <c r="E98" t="n">
        <v>149</v>
      </c>
      <c r="F98" t="n">
        <v>4</v>
      </c>
      <c r="G98" t="n">
        <v>2</v>
      </c>
      <c r="H98" t="n">
        <v>3</v>
      </c>
      <c r="I98" t="n">
        <v>366</v>
      </c>
      <c r="J98" t="n">
        <v>74</v>
      </c>
      <c r="K98" t="n">
        <v>14</v>
      </c>
      <c r="L98" t="inlineStr">
        <is>
          <t>Den Braven Czech and Slovak a.s.</t>
        </is>
      </c>
      <c r="M98" t="inlineStr">
        <is>
          <t>Drogerie/Technické/DEN BRAVEN</t>
        </is>
      </c>
    </row>
    <row r="99">
      <c r="A99" t="inlineStr">
        <is>
          <t>jádro</t>
        </is>
      </c>
      <c r="B99" t="inlineStr">
        <is>
          <t>Lepidla, tmely, silikony, PU pěny</t>
        </is>
      </c>
      <c r="C99" t="inlineStr">
        <is>
          <t xml:space="preserve">Loctite Super Bond 3 g </t>
        </is>
      </c>
      <c r="D99" t="inlineStr">
        <is>
          <t>9000100072441</t>
        </is>
      </c>
      <c r="E99" t="n">
        <v>53</v>
      </c>
      <c r="F99" t="n">
        <v>3</v>
      </c>
      <c r="G99" t="n">
        <v>3</v>
      </c>
      <c r="H99" t="n">
        <v>3</v>
      </c>
      <c r="I99" t="n">
        <v>131</v>
      </c>
      <c r="J99" t="n">
        <v>54</v>
      </c>
      <c r="K99" t="n">
        <v>12</v>
      </c>
      <c r="L99" t="inlineStr">
        <is>
          <t>Petr Zachař</t>
        </is>
      </c>
      <c r="M99" t="inlineStr">
        <is>
          <t>Drogerie/Technické/Zachař</t>
        </is>
      </c>
    </row>
    <row r="100">
      <c r="A100" t="inlineStr">
        <is>
          <t>jádro</t>
        </is>
      </c>
      <c r="B100" t="inlineStr">
        <is>
          <t>Lepidla, tmely, silikony, PU pěny</t>
        </is>
      </c>
      <c r="C100" t="inlineStr">
        <is>
          <t>Herkules - univerzální disperzní lepidlo 130 gr</t>
        </is>
      </c>
      <c r="D100" t="inlineStr">
        <is>
          <t>8594825008553</t>
        </is>
      </c>
      <c r="E100" t="n">
        <v>63</v>
      </c>
      <c r="F100" t="n">
        <v>3</v>
      </c>
      <c r="G100" t="n">
        <v>3</v>
      </c>
      <c r="H100" t="n">
        <v>3</v>
      </c>
      <c r="I100" t="n">
        <v>156</v>
      </c>
      <c r="J100" t="n">
        <v>67</v>
      </c>
      <c r="K100" t="n">
        <v>3</v>
      </c>
      <c r="L100" t="inlineStr">
        <is>
          <t>Solvent ČR s.r.o.</t>
        </is>
      </c>
      <c r="M100" t="inlineStr">
        <is>
          <t>Drogerie/Technické/PKS</t>
        </is>
      </c>
    </row>
    <row r="101">
      <c r="A101" t="inlineStr">
        <is>
          <t>jádro</t>
        </is>
      </c>
      <c r="B101" t="inlineStr">
        <is>
          <t>Lepidla, tmely, silikony, PU pěny</t>
        </is>
      </c>
      <c r="C101" t="inlineStr">
        <is>
          <t>Chemporén Transparent 50 ml</t>
        </is>
      </c>
      <c r="D101" t="inlineStr">
        <is>
          <t>8585000341022</t>
        </is>
      </c>
      <c r="E101" t="n">
        <v>75</v>
      </c>
      <c r="F101" t="n">
        <v>3</v>
      </c>
      <c r="G101" t="n">
        <v>3</v>
      </c>
      <c r="H101" t="n">
        <v>3</v>
      </c>
      <c r="I101" t="n">
        <v>203</v>
      </c>
      <c r="J101" t="n">
        <v>33</v>
      </c>
      <c r="K101" t="n">
        <v>8</v>
      </c>
      <c r="L101" t="inlineStr">
        <is>
          <t>Solvent ČR s.r.o.</t>
        </is>
      </c>
      <c r="M101" t="inlineStr">
        <is>
          <t>Drogerie/Technické/PKS</t>
        </is>
      </c>
    </row>
    <row r="102">
      <c r="A102" t="inlineStr">
        <is>
          <t>jádro</t>
        </is>
      </c>
      <c r="B102" t="inlineStr">
        <is>
          <t>Lepidla, tmely, silikony, PU pěny</t>
        </is>
      </c>
      <c r="C102" t="inlineStr">
        <is>
          <t>Mamut Glue CLEAR UV Exteriér 290 ml</t>
        </is>
      </c>
      <c r="D102" t="inlineStr">
        <is>
          <t>8595100174963</t>
        </is>
      </c>
      <c r="E102" t="n">
        <v>259</v>
      </c>
      <c r="F102" t="n">
        <v>6</v>
      </c>
      <c r="G102" t="n">
        <v>0</v>
      </c>
      <c r="H102" t="n">
        <v>3</v>
      </c>
      <c r="I102" t="n">
        <v>642</v>
      </c>
      <c r="J102" t="n">
        <v>54</v>
      </c>
      <c r="K102" t="n">
        <v>11</v>
      </c>
      <c r="L102" t="inlineStr">
        <is>
          <t>Den Braven Czech and Slovak a.s.</t>
        </is>
      </c>
      <c r="M102" t="inlineStr">
        <is>
          <t>Drogerie/Technické/DEN BRAVEN</t>
        </is>
      </c>
    </row>
    <row r="103">
      <c r="A103" t="inlineStr">
        <is>
          <t>jádro</t>
        </is>
      </c>
      <c r="B103" t="inlineStr">
        <is>
          <t>Malířské potřeby (štětce, válečky, fólie, brusivo)</t>
        </is>
      </c>
      <c r="C103" t="inlineStr">
        <is>
          <t xml:space="preserve">Folie 4x5m TARGET zakrývací </t>
        </is>
      </c>
      <c r="D103" t="inlineStr">
        <is>
          <t>9002588458007</t>
        </is>
      </c>
      <c r="E103" t="n">
        <v>25</v>
      </c>
      <c r="F103" t="n">
        <v>22</v>
      </c>
      <c r="G103" t="n">
        <v>104</v>
      </c>
      <c r="H103" t="n">
        <v>63</v>
      </c>
      <c r="I103" t="n">
        <v>1197</v>
      </c>
      <c r="J103" t="n">
        <v>72</v>
      </c>
      <c r="K103" t="n">
        <v>51</v>
      </c>
      <c r="L103" t="inlineStr">
        <is>
          <t>Schuller Eh'klar s.r.o.</t>
        </is>
      </c>
      <c r="M103" t="inlineStr">
        <is>
          <t>Drogerie/Technické/Schuller</t>
        </is>
      </c>
    </row>
    <row r="104">
      <c r="A104" t="inlineStr">
        <is>
          <t>jádro</t>
        </is>
      </c>
      <c r="B104" t="inlineStr">
        <is>
          <t>Malířské potřeby (štětce, válečky, fólie, brusivo)</t>
        </is>
      </c>
      <c r="C104" t="inlineStr">
        <is>
          <t>Nopová folie 400g 1m/20m</t>
        </is>
      </c>
      <c r="D104" t="inlineStr">
        <is>
          <t>8595100132239</t>
        </is>
      </c>
      <c r="E104" t="n">
        <v>49</v>
      </c>
      <c r="F104" t="n">
        <v>28</v>
      </c>
      <c r="G104" t="n">
        <v>15.5</v>
      </c>
      <c r="H104" t="n">
        <v>21.8</v>
      </c>
      <c r="I104" t="n">
        <v>836</v>
      </c>
      <c r="J104" t="n">
        <v>149</v>
      </c>
      <c r="K104" t="n">
        <v>0</v>
      </c>
      <c r="L104" t="inlineStr">
        <is>
          <t>Den Braven Czech and Slovak a.s.</t>
        </is>
      </c>
      <c r="M104" t="inlineStr">
        <is>
          <t>Drogerie/Technické/DEN BRAVEN</t>
        </is>
      </c>
    </row>
    <row r="105">
      <c r="A105" t="inlineStr">
        <is>
          <t>jádro</t>
        </is>
      </c>
      <c r="B105" t="inlineStr">
        <is>
          <t>Malířské potřeby (štětce, válečky, fólie, brusivo)</t>
        </is>
      </c>
      <c r="C105" t="inlineStr">
        <is>
          <t>Nopová folie 400g 0,5m/20m</t>
        </is>
      </c>
      <c r="D105" t="inlineStr">
        <is>
          <t>8595100132413</t>
        </is>
      </c>
      <c r="E105" t="n">
        <v>26</v>
      </c>
      <c r="F105" t="n">
        <v>37</v>
      </c>
      <c r="G105" t="n">
        <v>0</v>
      </c>
      <c r="H105" t="n">
        <v>18.5</v>
      </c>
      <c r="I105" t="n">
        <v>398</v>
      </c>
      <c r="J105" t="n">
        <v>154</v>
      </c>
      <c r="K105" t="n">
        <v>0</v>
      </c>
      <c r="L105" t="inlineStr">
        <is>
          <t>Den Braven Czech and Slovak a.s.</t>
        </is>
      </c>
      <c r="M105" t="inlineStr">
        <is>
          <t>Drogerie/Technické/DEN BRAVEN</t>
        </is>
      </c>
    </row>
    <row r="106">
      <c r="A106" t="inlineStr">
        <is>
          <t>jádro</t>
        </is>
      </c>
      <c r="B106" t="inlineStr">
        <is>
          <t>Malířské potřeby (štětce, válečky, fólie, brusivo)</t>
        </is>
      </c>
      <c r="C106" t="inlineStr">
        <is>
          <t xml:space="preserve">Zakrývací plachta 4x12,5 M </t>
        </is>
      </c>
      <c r="D106" t="inlineStr">
        <is>
          <t>9002588458021</t>
        </is>
      </c>
      <c r="E106" t="n">
        <v>55</v>
      </c>
      <c r="F106" t="n">
        <v>0</v>
      </c>
      <c r="G106" t="n">
        <v>32</v>
      </c>
      <c r="H106" t="n">
        <v>16</v>
      </c>
      <c r="I106" t="n">
        <v>659</v>
      </c>
      <c r="J106" t="n">
        <v>58</v>
      </c>
      <c r="K106" t="n">
        <v>0</v>
      </c>
      <c r="L106" t="inlineStr">
        <is>
          <t>Schuller Eh'klar s.r.o.</t>
        </is>
      </c>
      <c r="M106" t="inlineStr">
        <is>
          <t>Drogerie/Technické/Schuller</t>
        </is>
      </c>
    </row>
    <row r="107">
      <c r="A107" t="inlineStr">
        <is>
          <t>jádro</t>
        </is>
      </c>
      <c r="B107" t="inlineStr">
        <is>
          <t>Malířské potřeby (štětce, válečky, fólie, brusivo)</t>
        </is>
      </c>
      <c r="C107" t="inlineStr">
        <is>
          <t>Brusné plátno 80</t>
        </is>
      </c>
      <c r="D107" t="inlineStr">
        <is>
          <t>9002588657073</t>
        </is>
      </c>
      <c r="E107" t="n">
        <v>17</v>
      </c>
      <c r="F107" t="n">
        <v>5</v>
      </c>
      <c r="G107" t="n">
        <v>25</v>
      </c>
      <c r="H107" t="n">
        <v>15</v>
      </c>
      <c r="I107" t="n">
        <v>208</v>
      </c>
      <c r="J107" t="n">
        <v>53</v>
      </c>
      <c r="K107" t="n">
        <v>7</v>
      </c>
      <c r="L107" t="inlineStr">
        <is>
          <t>Schuller Eh'klar s.r.o.</t>
        </is>
      </c>
      <c r="M107" t="inlineStr">
        <is>
          <t>Drogerie/Technické/Schuller</t>
        </is>
      </c>
    </row>
    <row r="108">
      <c r="A108" t="inlineStr">
        <is>
          <t>jádro</t>
        </is>
      </c>
      <c r="B108" t="inlineStr">
        <is>
          <t>Malířské potřeby (štětce, válečky, fólie, brusivo)</t>
        </is>
      </c>
      <c r="C108" t="inlineStr">
        <is>
          <t xml:space="preserve">Štětec plochý TOP Q 40 mm žlutý </t>
        </is>
      </c>
      <c r="D108" t="inlineStr">
        <is>
          <t>9002588723433</t>
        </is>
      </c>
      <c r="E108" t="n">
        <v>31</v>
      </c>
      <c r="F108" t="n">
        <v>9</v>
      </c>
      <c r="G108" t="n">
        <v>20</v>
      </c>
      <c r="H108" t="n">
        <v>14.5</v>
      </c>
      <c r="I108" t="n">
        <v>365</v>
      </c>
      <c r="J108" t="n">
        <v>82</v>
      </c>
      <c r="K108" t="n">
        <v>9</v>
      </c>
      <c r="L108" t="inlineStr">
        <is>
          <t>Schuller Eh'klar s.r.o.</t>
        </is>
      </c>
      <c r="M108" t="inlineStr">
        <is>
          <t>Drogerie/Technické/Schuller</t>
        </is>
      </c>
    </row>
    <row r="109">
      <c r="A109" t="inlineStr">
        <is>
          <t>jádro</t>
        </is>
      </c>
      <c r="B109" t="inlineStr">
        <is>
          <t>Malířské potřeby (štětce, válečky, fólie, brusivo)</t>
        </is>
      </c>
      <c r="C109" t="inlineStr">
        <is>
          <t>Nopová folie 400g 1,5m/20m</t>
        </is>
      </c>
      <c r="D109" t="inlineStr">
        <is>
          <t>8595100132246</t>
        </is>
      </c>
      <c r="E109" t="n">
        <v>69</v>
      </c>
      <c r="F109" t="n">
        <v>0</v>
      </c>
      <c r="G109" t="n">
        <v>26</v>
      </c>
      <c r="H109" t="n">
        <v>13</v>
      </c>
      <c r="I109" t="n">
        <v>713</v>
      </c>
      <c r="J109" t="n">
        <v>-89</v>
      </c>
      <c r="K109" t="n">
        <v>0</v>
      </c>
      <c r="L109" t="inlineStr">
        <is>
          <t>Den Braven Czech and Slovak a.s.</t>
        </is>
      </c>
      <c r="M109" t="inlineStr">
        <is>
          <t>Drogerie/Technické/DEN BRAVEN</t>
        </is>
      </c>
    </row>
    <row r="110">
      <c r="A110" t="inlineStr">
        <is>
          <t>jádro</t>
        </is>
      </c>
      <c r="B110" t="inlineStr">
        <is>
          <t>Malířské potřeby (štětce, válečky, fólie, brusivo)</t>
        </is>
      </c>
      <c r="C110" t="inlineStr">
        <is>
          <t xml:space="preserve">Štětec plochý TOP Q 50 mm žlutý </t>
        </is>
      </c>
      <c r="D110" t="inlineStr">
        <is>
          <t>9002588723440</t>
        </is>
      </c>
      <c r="E110" t="n">
        <v>43</v>
      </c>
      <c r="F110" t="n">
        <v>9</v>
      </c>
      <c r="G110" t="n">
        <v>13</v>
      </c>
      <c r="H110" t="n">
        <v>11</v>
      </c>
      <c r="I110" t="n">
        <v>386</v>
      </c>
      <c r="J110" t="n">
        <v>83</v>
      </c>
      <c r="K110" t="n">
        <v>10</v>
      </c>
      <c r="L110" t="inlineStr">
        <is>
          <t>Schuller Eh'klar s.r.o.</t>
        </is>
      </c>
      <c r="M110" t="inlineStr">
        <is>
          <t>Drogerie/Technické/Schuller</t>
        </is>
      </c>
    </row>
    <row r="111">
      <c r="A111" t="inlineStr">
        <is>
          <t>jádro</t>
        </is>
      </c>
      <c r="B111" t="inlineStr">
        <is>
          <t>Malířské potřeby (štětce, válečky, fólie, brusivo)</t>
        </is>
      </c>
      <c r="C111" t="inlineStr">
        <is>
          <t>Brusné plátno č.120</t>
        </is>
      </c>
      <c r="D111" t="inlineStr">
        <is>
          <t>9002588657097</t>
        </is>
      </c>
      <c r="E111" t="n">
        <v>17</v>
      </c>
      <c r="F111" t="n">
        <v>6</v>
      </c>
      <c r="G111" t="n">
        <v>16</v>
      </c>
      <c r="H111" t="n">
        <v>11</v>
      </c>
      <c r="I111" t="n">
        <v>152</v>
      </c>
      <c r="J111" t="n">
        <v>53</v>
      </c>
      <c r="K111" t="n">
        <v>139</v>
      </c>
      <c r="L111" t="inlineStr">
        <is>
          <t>Schuller Eh'klar s.r.o.</t>
        </is>
      </c>
      <c r="M111" t="inlineStr">
        <is>
          <t>Drogerie/Technické/Schuller</t>
        </is>
      </c>
    </row>
    <row r="112">
      <c r="A112" t="inlineStr">
        <is>
          <t>jádro</t>
        </is>
      </c>
      <c r="B112" t="inlineStr">
        <is>
          <t>Malířské potřeby (štětce, válečky, fólie, brusivo)</t>
        </is>
      </c>
      <c r="C112" t="inlineStr">
        <is>
          <t>Brusný papír 600 pod vodu</t>
        </is>
      </c>
      <c r="D112" t="inlineStr">
        <is>
          <t>9002588650197</t>
        </is>
      </c>
      <c r="E112" t="n">
        <v>15</v>
      </c>
      <c r="F112" t="n">
        <v>17</v>
      </c>
      <c r="G112" t="n">
        <v>4</v>
      </c>
      <c r="H112" t="n">
        <v>10.5</v>
      </c>
      <c r="I112" t="n">
        <v>128</v>
      </c>
      <c r="J112" t="n">
        <v>96</v>
      </c>
      <c r="K112" t="n">
        <v>13</v>
      </c>
      <c r="L112" t="inlineStr">
        <is>
          <t>Schuller Eh'klar s.r.o.</t>
        </is>
      </c>
      <c r="M112" t="inlineStr">
        <is>
          <t>Drogerie/Technické/Schuller</t>
        </is>
      </c>
    </row>
    <row r="113">
      <c r="A113" t="inlineStr">
        <is>
          <t>jádro</t>
        </is>
      </c>
      <c r="B113" t="inlineStr">
        <is>
          <t>Malířské potřeby (štětce, válečky, fólie, brusivo)</t>
        </is>
      </c>
      <c r="C113" t="inlineStr">
        <is>
          <t>Brusný papír 800 pod vodu</t>
        </is>
      </c>
      <c r="D113" t="inlineStr">
        <is>
          <t>9002588650203</t>
        </is>
      </c>
      <c r="E113" t="n">
        <v>15</v>
      </c>
      <c r="F113" t="n">
        <v>14</v>
      </c>
      <c r="G113" t="n">
        <v>5</v>
      </c>
      <c r="H113" t="n">
        <v>9.5</v>
      </c>
      <c r="I113" t="n">
        <v>115</v>
      </c>
      <c r="J113" t="n">
        <v>96</v>
      </c>
      <c r="K113" t="n">
        <v>12</v>
      </c>
      <c r="L113" t="inlineStr">
        <is>
          <t>Schuller Eh'klar s.r.o.</t>
        </is>
      </c>
      <c r="M113" t="inlineStr">
        <is>
          <t>Drogerie/Technické/Schuller</t>
        </is>
      </c>
    </row>
    <row r="114">
      <c r="A114" t="inlineStr">
        <is>
          <t>jádro</t>
        </is>
      </c>
      <c r="B114" t="inlineStr">
        <is>
          <t>Malířské potřeby (štětce, válečky, fólie, brusivo)</t>
        </is>
      </c>
      <c r="C114" t="inlineStr">
        <is>
          <t>Váleček velvet 10cm</t>
        </is>
      </c>
      <c r="D114" t="inlineStr">
        <is>
          <t>9002588200408</t>
        </is>
      </c>
      <c r="E114" t="n">
        <v>22</v>
      </c>
      <c r="F114" t="n">
        <v>5</v>
      </c>
      <c r="G114" t="n">
        <v>14</v>
      </c>
      <c r="H114" t="n">
        <v>9.5</v>
      </c>
      <c r="I114" t="n">
        <v>161</v>
      </c>
      <c r="J114" t="n">
        <v>65</v>
      </c>
      <c r="K114" t="n">
        <v>8</v>
      </c>
      <c r="L114" t="inlineStr">
        <is>
          <t>Schuller Eh'klar s.r.o.</t>
        </is>
      </c>
      <c r="M114" t="inlineStr">
        <is>
          <t>Drogerie/Technické/Schuller</t>
        </is>
      </c>
    </row>
    <row r="115">
      <c r="A115" t="inlineStr">
        <is>
          <t>jádro</t>
        </is>
      </c>
      <c r="B115" t="inlineStr">
        <is>
          <t>Malířské potřeby (štětce, válečky, fólie, brusivo)</t>
        </is>
      </c>
      <c r="C115" t="inlineStr">
        <is>
          <t>Brusné plátno 60</t>
        </is>
      </c>
      <c r="D115" t="inlineStr">
        <is>
          <t>9002588657066</t>
        </is>
      </c>
      <c r="E115" t="n">
        <v>17</v>
      </c>
      <c r="F115" t="n">
        <v>12</v>
      </c>
      <c r="G115" t="n">
        <v>6</v>
      </c>
      <c r="H115" t="n">
        <v>9</v>
      </c>
      <c r="I115" t="n">
        <v>109</v>
      </c>
      <c r="J115" t="n">
        <v>53</v>
      </c>
      <c r="K115" t="n">
        <v>26</v>
      </c>
      <c r="L115" t="inlineStr">
        <is>
          <t>Schuller Eh'klar s.r.o.</t>
        </is>
      </c>
      <c r="M115" t="inlineStr">
        <is>
          <t>Drogerie/Technické/Schuller</t>
        </is>
      </c>
    </row>
    <row r="116">
      <c r="A116" t="inlineStr">
        <is>
          <t>jádro</t>
        </is>
      </c>
      <c r="B116" t="inlineStr">
        <is>
          <t>Malířské potřeby (štětce, válečky, fólie, brusivo)</t>
        </is>
      </c>
      <c r="C116" t="inlineStr">
        <is>
          <t>Folie okenní 3ks 240x184mm zvířata</t>
        </is>
      </c>
      <c r="D116" t="inlineStr">
        <is>
          <t>8592001361126</t>
        </is>
      </c>
      <c r="E116" t="n">
        <v>47</v>
      </c>
      <c r="F116" t="n">
        <v>0</v>
      </c>
      <c r="G116" t="n">
        <v>18</v>
      </c>
      <c r="H116" t="n">
        <v>9</v>
      </c>
      <c r="I116" t="n">
        <v>102</v>
      </c>
      <c r="J116" t="n">
        <v>45</v>
      </c>
      <c r="K116" t="n">
        <v>3</v>
      </c>
      <c r="L116" t="inlineStr">
        <is>
          <t>Solvent ČR s.r.o.</t>
        </is>
      </c>
      <c r="M116" t="inlineStr">
        <is>
          <t>Drogerie/Drogerie/PKS</t>
        </is>
      </c>
    </row>
    <row r="117">
      <c r="A117" t="inlineStr">
        <is>
          <t>jádro</t>
        </is>
      </c>
      <c r="B117" t="inlineStr">
        <is>
          <t>Malířské potřeby (štětce, válečky, fólie, brusivo)</t>
        </is>
      </c>
      <c r="C117" t="inlineStr">
        <is>
          <t>Umělecký štětec 14</t>
        </is>
      </c>
      <c r="D117" t="inlineStr">
        <is>
          <t>9002588750262</t>
        </is>
      </c>
      <c r="E117" t="n">
        <v>25</v>
      </c>
      <c r="F117" t="n">
        <v>12</v>
      </c>
      <c r="G117" t="n">
        <v>5</v>
      </c>
      <c r="H117" t="n">
        <v>8.5</v>
      </c>
      <c r="I117" t="n">
        <v>174</v>
      </c>
      <c r="J117" t="n">
        <v>70</v>
      </c>
      <c r="K117" t="n">
        <v>11</v>
      </c>
      <c r="L117" t="inlineStr">
        <is>
          <t>Schuller Eh'klar s.r.o.</t>
        </is>
      </c>
      <c r="M117" t="inlineStr">
        <is>
          <t>Drogerie/Technické/Schuller</t>
        </is>
      </c>
    </row>
    <row r="118">
      <c r="A118" t="inlineStr">
        <is>
          <t>jádro</t>
        </is>
      </c>
      <c r="B118" t="inlineStr">
        <is>
          <t>Malířské potřeby (štětce, válečky, fólie, brusivo)</t>
        </is>
      </c>
      <c r="C118" t="inlineStr">
        <is>
          <t xml:space="preserve">Štětec plochý TOP Q 30 mm žlutý </t>
        </is>
      </c>
      <c r="D118" t="inlineStr">
        <is>
          <t>9002588723426</t>
        </is>
      </c>
      <c r="E118" t="n">
        <v>28</v>
      </c>
      <c r="F118" t="n">
        <v>2</v>
      </c>
      <c r="G118" t="n">
        <v>15</v>
      </c>
      <c r="H118" t="n">
        <v>8.5</v>
      </c>
      <c r="I118" t="n">
        <v>193</v>
      </c>
      <c r="J118" t="n">
        <v>84</v>
      </c>
      <c r="K118" t="n">
        <v>3</v>
      </c>
      <c r="L118" t="inlineStr">
        <is>
          <t>Schuller Eh'klar s.r.o.</t>
        </is>
      </c>
      <c r="M118" t="inlineStr">
        <is>
          <t>Drogerie/Technické/Schuller</t>
        </is>
      </c>
    </row>
    <row r="119">
      <c r="A119" t="inlineStr">
        <is>
          <t>jádro</t>
        </is>
      </c>
      <c r="B119" t="inlineStr">
        <is>
          <t>Malířské potřeby (štětce, válečky, fólie, brusivo)</t>
        </is>
      </c>
      <c r="C119" t="inlineStr">
        <is>
          <t>Brusné plátno 40</t>
        </is>
      </c>
      <c r="D119" t="inlineStr">
        <is>
          <t>9002588657042</t>
        </is>
      </c>
      <c r="E119" t="n">
        <v>17</v>
      </c>
      <c r="F119" t="n">
        <v>5</v>
      </c>
      <c r="G119" t="n">
        <v>11</v>
      </c>
      <c r="H119" t="n">
        <v>8</v>
      </c>
      <c r="I119" t="n">
        <v>101</v>
      </c>
      <c r="J119" t="n">
        <v>53</v>
      </c>
      <c r="K119" t="n">
        <v>46</v>
      </c>
      <c r="L119" t="inlineStr">
        <is>
          <t>Schuller Eh'klar s.r.o.</t>
        </is>
      </c>
      <c r="M119" t="inlineStr">
        <is>
          <t>Drogerie/Technické/Schuller</t>
        </is>
      </c>
    </row>
    <row r="120">
      <c r="A120" t="inlineStr">
        <is>
          <t>jádro</t>
        </is>
      </c>
      <c r="B120" t="inlineStr">
        <is>
          <t>Malířské potřeby (štětce, válečky, fólie, brusivo)</t>
        </is>
      </c>
      <c r="C120" t="inlineStr">
        <is>
          <t>Brusný papír 5xK40-400 1ks</t>
        </is>
      </c>
      <c r="D120" t="inlineStr">
        <is>
          <t>9002588634500</t>
        </is>
      </c>
      <c r="E120" t="n">
        <v>10</v>
      </c>
      <c r="F120" t="n">
        <v>16</v>
      </c>
      <c r="G120" t="n">
        <v>0</v>
      </c>
      <c r="H120" t="n">
        <v>8</v>
      </c>
      <c r="I120" t="n">
        <v>66</v>
      </c>
      <c r="J120" t="n">
        <v>71</v>
      </c>
      <c r="K120" t="n">
        <v>25</v>
      </c>
      <c r="L120" t="inlineStr">
        <is>
          <t>Schuller Eh'klar s.r.o.</t>
        </is>
      </c>
      <c r="M120" t="inlineStr">
        <is>
          <t>Drogerie/Technické/Schuller</t>
        </is>
      </c>
    </row>
    <row r="121">
      <c r="A121" t="inlineStr">
        <is>
          <t>jádro</t>
        </is>
      </c>
      <c r="B121" t="inlineStr">
        <is>
          <t>Malířské potřeby (štětce, válečky, fólie, brusivo)</t>
        </is>
      </c>
      <c r="C121" t="inlineStr">
        <is>
          <t>Brusné plátno 100</t>
        </is>
      </c>
      <c r="D121" t="inlineStr">
        <is>
          <t>9002588657080</t>
        </is>
      </c>
      <c r="E121" t="n">
        <v>17</v>
      </c>
      <c r="F121" t="n">
        <v>7</v>
      </c>
      <c r="G121" t="n">
        <v>9</v>
      </c>
      <c r="H121" t="n">
        <v>8</v>
      </c>
      <c r="I121" t="n">
        <v>112</v>
      </c>
      <c r="J121" t="n">
        <v>53</v>
      </c>
      <c r="K121" t="n">
        <v>109</v>
      </c>
      <c r="L121" t="inlineStr">
        <is>
          <t>Schuller Eh'klar s.r.o.</t>
        </is>
      </c>
      <c r="M121" t="inlineStr">
        <is>
          <t>Drogerie/Technické/Schuller</t>
        </is>
      </c>
    </row>
    <row r="122">
      <c r="A122" t="inlineStr">
        <is>
          <t>jádro</t>
        </is>
      </c>
      <c r="B122" t="inlineStr">
        <is>
          <t>Malířské potřeby (štětce, válečky, fólie, brusivo)</t>
        </is>
      </c>
      <c r="C122" t="inlineStr">
        <is>
          <t>Brusné plátno 180</t>
        </is>
      </c>
      <c r="D122" t="inlineStr">
        <is>
          <t>9002588657110</t>
        </is>
      </c>
      <c r="E122" t="n">
        <v>17</v>
      </c>
      <c r="F122" t="n">
        <v>13</v>
      </c>
      <c r="G122" t="n">
        <v>2</v>
      </c>
      <c r="H122" t="n">
        <v>7.5</v>
      </c>
      <c r="I122" t="n">
        <v>104</v>
      </c>
      <c r="J122" t="n">
        <v>53</v>
      </c>
      <c r="K122" t="n">
        <v>75</v>
      </c>
      <c r="L122" t="inlineStr">
        <is>
          <t>Schuller Eh'klar s.r.o.</t>
        </is>
      </c>
      <c r="M122" t="inlineStr">
        <is>
          <t>Drogerie/Technické/Schuller</t>
        </is>
      </c>
    </row>
    <row r="123">
      <c r="A123" t="inlineStr">
        <is>
          <t>jádro</t>
        </is>
      </c>
      <c r="B123" t="inlineStr">
        <is>
          <t>Malířské potřeby (štětce, válečky, fólie, brusivo)</t>
        </is>
      </c>
      <c r="C123" t="inlineStr">
        <is>
          <t xml:space="preserve">Váleček polyamid 100 mm </t>
        </is>
      </c>
      <c r="D123" t="inlineStr">
        <is>
          <t>9002588212104</t>
        </is>
      </c>
      <c r="E123" t="n">
        <v>24</v>
      </c>
      <c r="F123" t="n">
        <v>7</v>
      </c>
      <c r="G123" t="n">
        <v>8</v>
      </c>
      <c r="H123" t="n">
        <v>7.5</v>
      </c>
      <c r="I123" t="n">
        <v>138</v>
      </c>
      <c r="J123" t="n">
        <v>56</v>
      </c>
      <c r="K123" t="n">
        <v>1</v>
      </c>
      <c r="L123" t="inlineStr">
        <is>
          <t>Schuller Eh'klar s.r.o.</t>
        </is>
      </c>
      <c r="M123" t="inlineStr">
        <is>
          <t>Drogerie/Technické/Schuller</t>
        </is>
      </c>
    </row>
    <row r="124">
      <c r="A124" t="inlineStr">
        <is>
          <t>jádro</t>
        </is>
      </c>
      <c r="B124" t="inlineStr">
        <is>
          <t>Malířské potřeby (štětce, válečky, fólie, brusivo)</t>
        </is>
      </c>
      <c r="C124" t="inlineStr">
        <is>
          <t>Folie 4x5m zakrývací  Bal.</t>
        </is>
      </c>
      <c r="D124" t="inlineStr">
        <is>
          <t>8591235040821</t>
        </is>
      </c>
      <c r="E124" t="n">
        <v>25</v>
      </c>
      <c r="F124" t="n">
        <v>0</v>
      </c>
      <c r="G124" t="n">
        <v>14</v>
      </c>
      <c r="H124" t="n">
        <v>7</v>
      </c>
      <c r="I124" t="n">
        <v>143</v>
      </c>
      <c r="J124" t="n">
        <v>158</v>
      </c>
      <c r="K124" t="n">
        <v>0</v>
      </c>
      <c r="L124" t="inlineStr">
        <is>
          <t>BARVY A LAKY HOSTIVAŘ, a.s.</t>
        </is>
      </c>
      <c r="M124" t="inlineStr">
        <is>
          <t>Drogerie/Technické/BAL</t>
        </is>
      </c>
    </row>
    <row r="125">
      <c r="A125" t="inlineStr">
        <is>
          <t>jádro</t>
        </is>
      </c>
      <c r="B125" t="inlineStr">
        <is>
          <t>Malířské potřeby (štětce, válečky, fólie, brusivo)</t>
        </is>
      </c>
      <c r="C125" t="inlineStr">
        <is>
          <t>Waterproof P 2000 - brusný papír pod vodu arch</t>
        </is>
      </c>
      <c r="D125" t="inlineStr">
        <is>
          <t>1000000008142</t>
        </is>
      </c>
      <c r="E125" t="n">
        <v>15</v>
      </c>
      <c r="F125" t="n">
        <v>9</v>
      </c>
      <c r="G125" t="n">
        <v>5</v>
      </c>
      <c r="H125" t="n">
        <v>7</v>
      </c>
      <c r="I125" t="n">
        <v>87</v>
      </c>
      <c r="J125" t="n">
        <v>95</v>
      </c>
      <c r="K125" t="n">
        <v>44</v>
      </c>
      <c r="L125" t="inlineStr">
        <is>
          <t>BODY COLOR, s.r.o.</t>
        </is>
      </c>
      <c r="M125" t="inlineStr">
        <is>
          <t>Drogerie/Technické/BODY</t>
        </is>
      </c>
    </row>
    <row r="126">
      <c r="A126" t="inlineStr">
        <is>
          <t>jádro</t>
        </is>
      </c>
      <c r="B126" t="inlineStr">
        <is>
          <t>Malířské potřeby (štětce, válečky, fólie, brusivo)</t>
        </is>
      </c>
      <c r="C126" t="inlineStr">
        <is>
          <t>Fólie zakrývací HDPE 4x5m, 0,010mm, skládaná</t>
        </is>
      </c>
      <c r="D126" t="inlineStr">
        <is>
          <t>4013307101499</t>
        </is>
      </c>
      <c r="E126" t="n">
        <v>49</v>
      </c>
      <c r="F126" t="n">
        <v>13</v>
      </c>
      <c r="G126" t="n">
        <v>0</v>
      </c>
      <c r="H126" t="n">
        <v>6.5</v>
      </c>
      <c r="I126" t="n">
        <v>258</v>
      </c>
      <c r="J126" t="n">
        <v>153</v>
      </c>
      <c r="K126" t="n">
        <v>34</v>
      </c>
      <c r="L126" t="inlineStr">
        <is>
          <t>Ciret s.r.o.</t>
        </is>
      </c>
      <c r="M126" t="inlineStr">
        <is>
          <t>Drogerie/Technické/Ciret</t>
        </is>
      </c>
    </row>
    <row r="127">
      <c r="A127" t="inlineStr">
        <is>
          <t>jádro</t>
        </is>
      </c>
      <c r="B127" t="inlineStr">
        <is>
          <t>Malířské potřeby (štětce, válečky, fólie, brusivo)</t>
        </is>
      </c>
      <c r="C127" t="inlineStr">
        <is>
          <t>brusný papír 175 zrnitost 80</t>
        </is>
      </c>
      <c r="D127" t="inlineStr">
        <is>
          <t>9002588644073</t>
        </is>
      </c>
      <c r="E127" t="n">
        <v>12</v>
      </c>
      <c r="F127" t="n">
        <v>4</v>
      </c>
      <c r="G127" t="n">
        <v>8</v>
      </c>
      <c r="H127" t="n">
        <v>6</v>
      </c>
      <c r="I127" t="n">
        <v>58</v>
      </c>
      <c r="J127" t="n">
        <v>119</v>
      </c>
      <c r="K127" t="n">
        <v>57</v>
      </c>
      <c r="L127" t="inlineStr">
        <is>
          <t>Schuller Eh'klar s.r.o.</t>
        </is>
      </c>
      <c r="M127" t="inlineStr">
        <is>
          <t>Drogerie/Technické/Schuller</t>
        </is>
      </c>
    </row>
    <row r="128">
      <c r="A128" t="inlineStr">
        <is>
          <t>jádro</t>
        </is>
      </c>
      <c r="B128" t="inlineStr">
        <is>
          <t>Malířské potřeby (štětce, válečky, fólie, brusivo)</t>
        </is>
      </c>
      <c r="C128" t="inlineStr">
        <is>
          <t>Váleček nylon 6cm</t>
        </is>
      </c>
      <c r="D128" t="inlineStr">
        <is>
          <t>8584013191501</t>
        </is>
      </c>
      <c r="E128" t="n">
        <v>18</v>
      </c>
      <c r="F128" t="n">
        <v>8</v>
      </c>
      <c r="G128" t="n">
        <v>4</v>
      </c>
      <c r="H128" t="n">
        <v>6</v>
      </c>
      <c r="I128" t="n">
        <v>86</v>
      </c>
      <c r="J128" t="n">
        <v>69</v>
      </c>
      <c r="K128" t="n">
        <v>-15</v>
      </c>
      <c r="L128" t="inlineStr">
        <is>
          <t>Schuller Eh'klar s.r.o.</t>
        </is>
      </c>
      <c r="M128" t="inlineStr">
        <is>
          <t>Drogerie/Technické/Schuller</t>
        </is>
      </c>
    </row>
    <row r="129">
      <c r="A129" t="inlineStr">
        <is>
          <t>jádro</t>
        </is>
      </c>
      <c r="B129" t="inlineStr">
        <is>
          <t>Malířské potřeby (štětce, válečky, fólie, brusivo)</t>
        </is>
      </c>
      <c r="C129" t="inlineStr">
        <is>
          <t>váleček šedo-černý 10cm</t>
        </is>
      </c>
      <c r="D129" t="inlineStr">
        <is>
          <t>8584013251007</t>
        </is>
      </c>
      <c r="E129" t="n">
        <v>23</v>
      </c>
      <c r="F129" t="n">
        <v>6</v>
      </c>
      <c r="G129" t="n">
        <v>6</v>
      </c>
      <c r="H129" t="n">
        <v>6</v>
      </c>
      <c r="I129" t="n">
        <v>112</v>
      </c>
      <c r="J129" t="n">
        <v>74</v>
      </c>
      <c r="K129" t="n">
        <v>8</v>
      </c>
      <c r="L129" t="inlineStr">
        <is>
          <t>Schuller Eh'klar s.r.o.</t>
        </is>
      </c>
      <c r="M129" t="inlineStr">
        <is>
          <t>Drogerie/Technické/Schuller</t>
        </is>
      </c>
    </row>
    <row r="130">
      <c r="A130" t="inlineStr">
        <is>
          <t>jádro</t>
        </is>
      </c>
      <c r="B130" t="inlineStr">
        <is>
          <t>Malířské potřeby (štětce, válečky, fólie, brusivo)</t>
        </is>
      </c>
      <c r="C130" t="inlineStr">
        <is>
          <t>Vanička  na barvu velká 32x33 cm</t>
        </is>
      </c>
      <c r="D130" t="inlineStr">
        <is>
          <t>9002588405001</t>
        </is>
      </c>
      <c r="E130" t="n">
        <v>71</v>
      </c>
      <c r="F130" t="n">
        <v>7</v>
      </c>
      <c r="G130" t="n">
        <v>5</v>
      </c>
      <c r="H130" t="n">
        <v>6</v>
      </c>
      <c r="I130" t="n">
        <v>340</v>
      </c>
      <c r="J130" t="n">
        <v>70</v>
      </c>
      <c r="K130" t="n">
        <v>5</v>
      </c>
      <c r="L130" t="inlineStr">
        <is>
          <t>Schuller Eh'klar s.r.o.</t>
        </is>
      </c>
      <c r="M130" t="inlineStr">
        <is>
          <t>Drogerie/Technické/Schuller</t>
        </is>
      </c>
    </row>
    <row r="131">
      <c r="A131" t="inlineStr">
        <is>
          <t>jádro</t>
        </is>
      </c>
      <c r="B131" t="inlineStr">
        <is>
          <t>Malířské potřeby (štětce, válečky, fólie, brusivo)</t>
        </is>
      </c>
      <c r="C131" t="inlineStr">
        <is>
          <t>Stírací mřížka DROP 27x29 cm</t>
        </is>
      </c>
      <c r="D131" t="inlineStr">
        <is>
          <t>9002588404301</t>
        </is>
      </c>
      <c r="E131" t="n">
        <v>39</v>
      </c>
      <c r="F131" t="n">
        <v>6</v>
      </c>
      <c r="G131" t="n">
        <v>6</v>
      </c>
      <c r="H131" t="n">
        <v>6</v>
      </c>
      <c r="I131" t="n">
        <v>161</v>
      </c>
      <c r="J131" t="n">
        <v>58</v>
      </c>
      <c r="K131" t="n">
        <v>8</v>
      </c>
      <c r="L131" t="inlineStr">
        <is>
          <t>Schuller Eh'klar s.r.o.</t>
        </is>
      </c>
      <c r="M131" t="inlineStr">
        <is>
          <t>Drogerie/Technické/Schuller</t>
        </is>
      </c>
    </row>
    <row r="132">
      <c r="A132" t="inlineStr">
        <is>
          <t>jádro</t>
        </is>
      </c>
      <c r="B132" t="inlineStr">
        <is>
          <t>Malířské potřeby (štětce, válečky, fólie, brusivo)</t>
        </is>
      </c>
      <c r="C132" t="inlineStr">
        <is>
          <t xml:space="preserve">Štětec plochý TOP Q 20 mm žlutý </t>
        </is>
      </c>
      <c r="D132" t="inlineStr">
        <is>
          <t>9002588723419</t>
        </is>
      </c>
      <c r="E132" t="n">
        <v>25</v>
      </c>
      <c r="F132" t="n">
        <v>8</v>
      </c>
      <c r="G132" t="n">
        <v>4</v>
      </c>
      <c r="H132" t="n">
        <v>6</v>
      </c>
      <c r="I132" t="n">
        <v>123</v>
      </c>
      <c r="J132" t="n">
        <v>85</v>
      </c>
      <c r="K132" t="n">
        <v>5</v>
      </c>
      <c r="L132" t="inlineStr">
        <is>
          <t>Schuller Eh'klar s.r.o.</t>
        </is>
      </c>
      <c r="M132" t="inlineStr">
        <is>
          <t>Drogerie/Technické/Schuller</t>
        </is>
      </c>
    </row>
    <row r="133">
      <c r="A133" t="inlineStr">
        <is>
          <t>jádro</t>
        </is>
      </c>
      <c r="B133" t="inlineStr">
        <is>
          <t>Malířské potřeby (štětce, válečky, fólie, brusivo)</t>
        </is>
      </c>
      <c r="C133" t="inlineStr">
        <is>
          <t>Štětec umělec. č. 8</t>
        </is>
      </c>
      <c r="D133" t="inlineStr">
        <is>
          <t>9002588750231</t>
        </is>
      </c>
      <c r="E133" t="n">
        <v>21</v>
      </c>
      <c r="F133" t="n">
        <v>3</v>
      </c>
      <c r="G133" t="n">
        <v>8</v>
      </c>
      <c r="H133" t="n">
        <v>5.5</v>
      </c>
      <c r="I133" t="n">
        <v>94</v>
      </c>
      <c r="J133" t="n">
        <v>79</v>
      </c>
      <c r="K133" t="n">
        <v>5</v>
      </c>
      <c r="L133" t="inlineStr">
        <is>
          <t>Schuller Eh'klar s.r.o.</t>
        </is>
      </c>
      <c r="M133" t="inlineStr">
        <is>
          <t>Drogerie/Technické/Schuller</t>
        </is>
      </c>
    </row>
    <row r="134">
      <c r="A134" t="inlineStr">
        <is>
          <t>jádro</t>
        </is>
      </c>
      <c r="B134" t="inlineStr">
        <is>
          <t>Malířské potřeby (štětce, válečky, fólie, brusivo)</t>
        </is>
      </c>
      <c r="C134" t="inlineStr">
        <is>
          <t>Špachtle YORK 50MM</t>
        </is>
      </c>
      <c r="D134" t="inlineStr">
        <is>
          <t>8595047700317</t>
        </is>
      </c>
      <c r="E134" t="n">
        <v>65</v>
      </c>
      <c r="F134" t="n">
        <v>4</v>
      </c>
      <c r="G134" t="n">
        <v>7</v>
      </c>
      <c r="H134" t="n">
        <v>5.5</v>
      </c>
      <c r="I134" t="n">
        <v>276</v>
      </c>
      <c r="J134" t="n">
        <v>77</v>
      </c>
      <c r="K134" t="n">
        <v>1</v>
      </c>
      <c r="L134" t="inlineStr">
        <is>
          <t>FILÁK ŠENOV s.r.o.</t>
        </is>
      </c>
      <c r="M134" t="inlineStr">
        <is>
          <t>Drogerie/Technické/Filák</t>
        </is>
      </c>
    </row>
    <row r="135">
      <c r="A135" t="inlineStr">
        <is>
          <t>jádro</t>
        </is>
      </c>
      <c r="B135" t="inlineStr">
        <is>
          <t>Malířské potřeby (štětce, válečky, fólie, brusivo)</t>
        </is>
      </c>
      <c r="C135" t="inlineStr">
        <is>
          <t xml:space="preserve">Štětec plochý TOP Q 60 mm žlutý </t>
        </is>
      </c>
      <c r="D135" t="inlineStr">
        <is>
          <t>9002588723457</t>
        </is>
      </c>
      <c r="E135" t="n">
        <v>54</v>
      </c>
      <c r="F135" t="n">
        <v>7</v>
      </c>
      <c r="G135" t="n">
        <v>4</v>
      </c>
      <c r="H135" t="n">
        <v>5.5</v>
      </c>
      <c r="I135" t="n">
        <v>241</v>
      </c>
      <c r="J135" t="n">
        <v>82</v>
      </c>
      <c r="K135" t="n">
        <v>18</v>
      </c>
      <c r="L135" t="inlineStr">
        <is>
          <t>Schuller Eh'klar s.r.o.</t>
        </is>
      </c>
      <c r="M135" t="inlineStr">
        <is>
          <t>Drogerie/Technické/Schuller</t>
        </is>
      </c>
    </row>
    <row r="136">
      <c r="A136" t="inlineStr">
        <is>
          <t>jádro</t>
        </is>
      </c>
      <c r="B136" t="inlineStr">
        <is>
          <t>Malířské potřeby (štětce, válečky, fólie, brusivo)</t>
        </is>
      </c>
      <c r="C136" t="inlineStr">
        <is>
          <t>Štětec zárohák 2</t>
        </is>
      </c>
      <c r="D136" t="inlineStr">
        <is>
          <t>9002588716848</t>
        </is>
      </c>
      <c r="E136" t="n">
        <v>43</v>
      </c>
      <c r="F136" t="n">
        <v>5</v>
      </c>
      <c r="G136" t="n">
        <v>6</v>
      </c>
      <c r="H136" t="n">
        <v>5.5</v>
      </c>
      <c r="I136" t="n">
        <v>191</v>
      </c>
      <c r="J136" t="n">
        <v>50</v>
      </c>
      <c r="K136" t="n">
        <v>10</v>
      </c>
      <c r="L136" t="inlineStr">
        <is>
          <t>Schuller Eh'klar s.r.o.</t>
        </is>
      </c>
      <c r="M136" t="inlineStr">
        <is>
          <t>Drogerie/Technické/Schuller</t>
        </is>
      </c>
    </row>
    <row r="137">
      <c r="A137" t="inlineStr">
        <is>
          <t>jádro</t>
        </is>
      </c>
      <c r="B137" t="inlineStr">
        <is>
          <t>Malířské potřeby (štětce, válečky, fólie, brusivo)</t>
        </is>
      </c>
      <c r="C137" t="inlineStr">
        <is>
          <t>Štetec rozdělený CIRET Malířský ks/ různé druhy</t>
        </is>
      </c>
      <c r="D137" t="inlineStr">
        <is>
          <t>9783598216367</t>
        </is>
      </c>
      <c r="E137" t="n">
        <v>15</v>
      </c>
      <c r="F137" t="n">
        <v>10</v>
      </c>
      <c r="G137" t="n">
        <v>0</v>
      </c>
      <c r="H137" t="n">
        <v>5</v>
      </c>
      <c r="I137" t="n">
        <v>61</v>
      </c>
      <c r="J137" t="n">
        <v>458</v>
      </c>
      <c r="K137" t="n">
        <v>108</v>
      </c>
      <c r="L137" t="inlineStr">
        <is>
          <t>TĚSNĚNÍ NÝVLT s.r.o.</t>
        </is>
      </c>
      <c r="M137" t="inlineStr">
        <is>
          <t>Drogerie/Technické/Ciret</t>
        </is>
      </c>
    </row>
    <row r="138">
      <c r="A138" t="inlineStr">
        <is>
          <t>jádro</t>
        </is>
      </c>
      <c r="B138" t="inlineStr">
        <is>
          <t>Malířské potřeby (štětce, válečky, fólie, brusivo)</t>
        </is>
      </c>
      <c r="C138" t="inlineStr">
        <is>
          <t xml:space="preserve">Štětec plochý TOP Q 100 mm žlutý </t>
        </is>
      </c>
      <c r="D138" t="inlineStr">
        <is>
          <t>9002588723488</t>
        </is>
      </c>
      <c r="E138" t="n">
        <v>78</v>
      </c>
      <c r="F138" t="n">
        <v>3</v>
      </c>
      <c r="G138" t="n">
        <v>7</v>
      </c>
      <c r="H138" t="n">
        <v>5</v>
      </c>
      <c r="I138" t="n">
        <v>316</v>
      </c>
      <c r="J138" t="n">
        <v>40</v>
      </c>
      <c r="K138" t="n">
        <v>6</v>
      </c>
      <c r="L138" t="inlineStr">
        <is>
          <t>Schuller Eh'klar s.r.o.</t>
        </is>
      </c>
      <c r="M138" t="inlineStr">
        <is>
          <t>Drogerie/Technické/Schuller</t>
        </is>
      </c>
    </row>
    <row r="139">
      <c r="A139" t="inlineStr">
        <is>
          <t>jádro</t>
        </is>
      </c>
      <c r="B139" t="inlineStr">
        <is>
          <t>Malířské potřeby (štětce, válečky, fólie, brusivo)</t>
        </is>
      </c>
      <c r="C139" t="inlineStr">
        <is>
          <t xml:space="preserve">Štětec plochý TOP Q 80 mm žlutý </t>
        </is>
      </c>
      <c r="D139" t="inlineStr">
        <is>
          <t>9002588723471</t>
        </is>
      </c>
      <c r="E139" t="n">
        <v>69</v>
      </c>
      <c r="F139" t="n">
        <v>3</v>
      </c>
      <c r="G139" t="n">
        <v>7</v>
      </c>
      <c r="H139" t="n">
        <v>5</v>
      </c>
      <c r="I139" t="n">
        <v>282</v>
      </c>
      <c r="J139" t="n">
        <v>66</v>
      </c>
      <c r="K139" t="n">
        <v>4</v>
      </c>
      <c r="L139" t="inlineStr">
        <is>
          <t>Schuller Eh'klar s.r.o.</t>
        </is>
      </c>
      <c r="M139" t="inlineStr">
        <is>
          <t>Drogerie/Technické/Schuller</t>
        </is>
      </c>
    </row>
    <row r="140">
      <c r="A140" t="inlineStr">
        <is>
          <t>jádro</t>
        </is>
      </c>
      <c r="B140" t="inlineStr">
        <is>
          <t>Malířské potřeby (štětce, válečky, fólie, brusivo)</t>
        </is>
      </c>
      <c r="C140" t="inlineStr">
        <is>
          <t>Štětec zárohák 1 1/2</t>
        </is>
      </c>
      <c r="D140" t="inlineStr">
        <is>
          <t>9002588716831</t>
        </is>
      </c>
      <c r="E140" t="n">
        <v>38</v>
      </c>
      <c r="F140" t="n">
        <v>4</v>
      </c>
      <c r="G140" t="n">
        <v>6</v>
      </c>
      <c r="H140" t="n">
        <v>5</v>
      </c>
      <c r="I140" t="n">
        <v>155</v>
      </c>
      <c r="J140" t="n">
        <v>43</v>
      </c>
      <c r="K140" t="n">
        <v>9</v>
      </c>
      <c r="L140" t="inlineStr">
        <is>
          <t>Schuller Eh'klar s.r.o.</t>
        </is>
      </c>
      <c r="M140" t="inlineStr">
        <is>
          <t>Drogerie/Technické/Schuller</t>
        </is>
      </c>
    </row>
    <row r="141">
      <c r="A141" t="inlineStr">
        <is>
          <t>jádro</t>
        </is>
      </c>
      <c r="B141" t="inlineStr">
        <is>
          <t>Malířské potřeby (štětce, válečky, fólie, brusivo)</t>
        </is>
      </c>
      <c r="C141" t="inlineStr">
        <is>
          <t xml:space="preserve">Thermo válec 25120 šedo černý </t>
        </is>
      </c>
      <c r="D141" t="inlineStr">
        <is>
          <t>8584013251205</t>
        </is>
      </c>
      <c r="E141" t="n">
        <v>124</v>
      </c>
      <c r="F141" t="n">
        <v>6</v>
      </c>
      <c r="G141" t="n">
        <v>4</v>
      </c>
      <c r="H141" t="n">
        <v>5</v>
      </c>
      <c r="I141" t="n">
        <v>509</v>
      </c>
      <c r="J141" t="n">
        <v>48</v>
      </c>
      <c r="K141" t="n">
        <v>4</v>
      </c>
      <c r="L141" t="inlineStr">
        <is>
          <t>Schuller Eh'klar s.r.o.</t>
        </is>
      </c>
      <c r="M141" t="inlineStr">
        <is>
          <t>Drogerie/Technické/Schuller</t>
        </is>
      </c>
    </row>
    <row r="142">
      <c r="A142" t="inlineStr">
        <is>
          <t>jádro</t>
        </is>
      </c>
      <c r="B142" t="inlineStr">
        <is>
          <t>Malířské potřeby (štětce, válečky, fólie, brusivo)</t>
        </is>
      </c>
      <c r="C142" t="inlineStr">
        <is>
          <t>Průtažná fólie - ruční (Stretch foil) 50cm 1,9kg 23my 680g (120m)</t>
        </is>
      </c>
      <c r="D142" t="inlineStr">
        <is>
          <t>8595100130020</t>
        </is>
      </c>
      <c r="E142" t="n">
        <v>249</v>
      </c>
      <c r="F142" t="n">
        <v>1</v>
      </c>
      <c r="G142" t="n">
        <v>9</v>
      </c>
      <c r="H142" t="n">
        <v>5</v>
      </c>
      <c r="I142" t="n">
        <v>1023</v>
      </c>
      <c r="J142" t="n">
        <v>209</v>
      </c>
      <c r="K142" t="n">
        <v>17</v>
      </c>
      <c r="L142" t="inlineStr">
        <is>
          <t>Den Braven Czech and Slovak a.s.</t>
        </is>
      </c>
      <c r="M142" t="inlineStr">
        <is>
          <t>Drogerie/Technické/DEN BRAVEN</t>
        </is>
      </c>
    </row>
    <row r="143">
      <c r="A143" t="inlineStr">
        <is>
          <t>jádro</t>
        </is>
      </c>
      <c r="B143" t="inlineStr">
        <is>
          <t>Malířské potřeby (štětce, válečky, fólie, brusivo)</t>
        </is>
      </c>
      <c r="C143" t="inlineStr">
        <is>
          <t>Štětec obyčejný  35</t>
        </is>
      </c>
      <c r="D143" t="inlineStr">
        <is>
          <t>1000000004366</t>
        </is>
      </c>
      <c r="E143" t="n">
        <v>19</v>
      </c>
      <c r="F143" t="n">
        <v>4</v>
      </c>
      <c r="G143" t="n">
        <v>5</v>
      </c>
      <c r="H143" t="n">
        <v>4.5</v>
      </c>
      <c r="I143" t="n">
        <v>71</v>
      </c>
      <c r="J143" t="n">
        <v>102</v>
      </c>
      <c r="K143" t="n">
        <v>0</v>
      </c>
      <c r="L143" t="inlineStr">
        <is>
          <t>Ciret s.r.o.</t>
        </is>
      </c>
      <c r="M143" t="inlineStr">
        <is>
          <t>Drogerie/Technické/Ciret</t>
        </is>
      </c>
    </row>
    <row r="144">
      <c r="A144" t="inlineStr">
        <is>
          <t>jádro</t>
        </is>
      </c>
      <c r="B144" t="inlineStr">
        <is>
          <t>Malířské potřeby (štětce, válečky, fólie, brusivo)</t>
        </is>
      </c>
      <c r="C144" t="inlineStr">
        <is>
          <t>Válec 25cm golden</t>
        </is>
      </c>
      <c r="D144" t="inlineStr">
        <is>
          <t>9002588252469</t>
        </is>
      </c>
      <c r="E144" t="n">
        <v>139</v>
      </c>
      <c r="F144" t="n">
        <v>3</v>
      </c>
      <c r="G144" t="n">
        <v>6</v>
      </c>
      <c r="H144" t="n">
        <v>4.5</v>
      </c>
      <c r="I144" t="n">
        <v>511</v>
      </c>
      <c r="J144" t="n">
        <v>59</v>
      </c>
      <c r="K144" t="n">
        <v>8</v>
      </c>
      <c r="L144" t="inlineStr">
        <is>
          <t>Schuller Eh'klar s.r.o.</t>
        </is>
      </c>
      <c r="M144" t="inlineStr">
        <is>
          <t>Drogerie/Technické/Schuller</t>
        </is>
      </c>
    </row>
    <row r="145">
      <c r="A145" t="inlineStr">
        <is>
          <t>jádro</t>
        </is>
      </c>
      <c r="B145" t="inlineStr">
        <is>
          <t>Malířské potřeby (štětce, válečky, fólie, brusivo)</t>
        </is>
      </c>
      <c r="C145" t="inlineStr">
        <is>
          <t>Brusná houba  K60</t>
        </is>
      </c>
      <c r="D145" t="inlineStr">
        <is>
          <t>9002588600369</t>
        </is>
      </c>
      <c r="E145" t="n">
        <v>27</v>
      </c>
      <c r="F145" t="n">
        <v>3</v>
      </c>
      <c r="G145" t="n">
        <v>6</v>
      </c>
      <c r="H145" t="n">
        <v>4.5</v>
      </c>
      <c r="I145" t="n">
        <v>100</v>
      </c>
      <c r="J145" t="n">
        <v>49</v>
      </c>
      <c r="K145" t="n">
        <v>8</v>
      </c>
      <c r="L145" t="inlineStr">
        <is>
          <t>Schuller Eh'klar s.r.o.</t>
        </is>
      </c>
      <c r="M145" t="inlineStr">
        <is>
          <t>Drogerie/Technické/Schuller</t>
        </is>
      </c>
    </row>
    <row r="146">
      <c r="A146" t="inlineStr">
        <is>
          <t>jádro</t>
        </is>
      </c>
      <c r="B146" t="inlineStr">
        <is>
          <t>Malířské potřeby (štětce, válečky, fólie, brusivo)</t>
        </is>
      </c>
      <c r="C146" t="inlineStr">
        <is>
          <t xml:space="preserve">Držadlo GRIP 10/27 cm 6 mm </t>
        </is>
      </c>
      <c r="D146" t="inlineStr">
        <is>
          <t>9002588225104</t>
        </is>
      </c>
      <c r="E146" t="n">
        <v>33</v>
      </c>
      <c r="F146" t="n">
        <v>2</v>
      </c>
      <c r="G146" t="n">
        <v>7</v>
      </c>
      <c r="H146" t="n">
        <v>4.5</v>
      </c>
      <c r="I146" t="n">
        <v>121</v>
      </c>
      <c r="J146" t="n">
        <v>103</v>
      </c>
      <c r="K146" t="n">
        <v>15</v>
      </c>
      <c r="L146" t="inlineStr">
        <is>
          <t>Schuller Eh'klar s.r.o.</t>
        </is>
      </c>
      <c r="M146" t="inlineStr">
        <is>
          <t>Drogerie/Technické/Schuller</t>
        </is>
      </c>
    </row>
    <row r="147">
      <c r="A147" t="inlineStr">
        <is>
          <t>jádro</t>
        </is>
      </c>
      <c r="B147" t="inlineStr">
        <is>
          <t>Malířské potřeby (štětce, válečky, fólie, brusivo)</t>
        </is>
      </c>
      <c r="C147" t="inlineStr">
        <is>
          <t xml:space="preserve">Mřížka 18 cm </t>
        </is>
      </c>
      <c r="D147" t="inlineStr">
        <is>
          <t>8584013404120</t>
        </is>
      </c>
      <c r="E147" t="n">
        <v>15</v>
      </c>
      <c r="F147" t="n">
        <v>1</v>
      </c>
      <c r="G147" t="n">
        <v>8</v>
      </c>
      <c r="H147" t="n">
        <v>4.5</v>
      </c>
      <c r="I147" t="n">
        <v>56</v>
      </c>
      <c r="J147" t="n">
        <v>64</v>
      </c>
      <c r="K147" t="n">
        <v>8</v>
      </c>
      <c r="L147" t="inlineStr">
        <is>
          <t>Schuller Eh'klar s.r.o.</t>
        </is>
      </c>
      <c r="M147" t="inlineStr">
        <is>
          <t>Drogerie/Technické/Schuller</t>
        </is>
      </c>
    </row>
    <row r="148">
      <c r="A148" t="inlineStr">
        <is>
          <t>jádro</t>
        </is>
      </c>
      <c r="B148" t="inlineStr">
        <is>
          <t>Malířské potřeby (štětce, válečky, fólie, brusivo)</t>
        </is>
      </c>
      <c r="C148" t="inlineStr">
        <is>
          <t xml:space="preserve">Štětec plochý TOP Q 70 mm žlutý </t>
        </is>
      </c>
      <c r="D148" t="inlineStr">
        <is>
          <t>9002588723464</t>
        </is>
      </c>
      <c r="E148" t="n">
        <v>59</v>
      </c>
      <c r="F148" t="n">
        <v>3</v>
      </c>
      <c r="G148" t="n">
        <v>6</v>
      </c>
      <c r="H148" t="n">
        <v>4.5</v>
      </c>
      <c r="I148" t="n">
        <v>219</v>
      </c>
      <c r="J148" t="n">
        <v>69</v>
      </c>
      <c r="K148" t="n">
        <v>5</v>
      </c>
      <c r="L148" t="inlineStr">
        <is>
          <t>Schuller Eh'klar s.r.o.</t>
        </is>
      </c>
      <c r="M148" t="inlineStr">
        <is>
          <t>Drogerie/Technické/Schuller</t>
        </is>
      </c>
    </row>
    <row r="149">
      <c r="A149" t="inlineStr">
        <is>
          <t>jádro</t>
        </is>
      </c>
      <c r="B149" t="inlineStr">
        <is>
          <t>Malířské potřeby (štětce, válečky, fólie, brusivo)</t>
        </is>
      </c>
      <c r="C149" t="inlineStr">
        <is>
          <t>Brusný papír pod vodu č.220</t>
        </is>
      </c>
      <c r="D149" t="inlineStr">
        <is>
          <t>9002588644127</t>
        </is>
      </c>
      <c r="E149" t="n">
        <v>13</v>
      </c>
      <c r="F149" t="n">
        <v>4</v>
      </c>
      <c r="G149" t="n">
        <v>5</v>
      </c>
      <c r="H149" t="n">
        <v>4.5</v>
      </c>
      <c r="I149" t="n">
        <v>48</v>
      </c>
      <c r="J149" t="n">
        <v>79</v>
      </c>
      <c r="K149" t="n">
        <v>-10</v>
      </c>
      <c r="L149" t="inlineStr">
        <is>
          <t>Schuller Eh'klar s.r.o.</t>
        </is>
      </c>
      <c r="M149" t="inlineStr">
        <is>
          <t>Drogerie/Technické/Schuller</t>
        </is>
      </c>
    </row>
    <row r="150">
      <c r="A150" t="inlineStr">
        <is>
          <t>jádro</t>
        </is>
      </c>
      <c r="B150" t="inlineStr">
        <is>
          <t>Malířské potřeby (štětce, válečky, fólie, brusivo)</t>
        </is>
      </c>
      <c r="C150" t="inlineStr">
        <is>
          <t>brusný papír p 400 pod vodu</t>
        </is>
      </c>
      <c r="D150" t="inlineStr">
        <is>
          <t>9002588650173</t>
        </is>
      </c>
      <c r="E150" t="n">
        <v>15</v>
      </c>
      <c r="F150" t="n">
        <v>0</v>
      </c>
      <c r="G150" t="n">
        <v>8</v>
      </c>
      <c r="H150" t="n">
        <v>4</v>
      </c>
      <c r="I150" t="n">
        <v>47</v>
      </c>
      <c r="J150" t="n">
        <v>96</v>
      </c>
      <c r="K150" t="n">
        <v>25</v>
      </c>
      <c r="L150" t="inlineStr">
        <is>
          <t>Schuller Eh'klar s.r.o.</t>
        </is>
      </c>
      <c r="M150" t="inlineStr">
        <is>
          <t>Drogerie/Technické/Schuller</t>
        </is>
      </c>
    </row>
    <row r="151">
      <c r="A151" t="inlineStr">
        <is>
          <t>jádro</t>
        </is>
      </c>
      <c r="B151" t="inlineStr">
        <is>
          <t>Malířské potřeby (štětce, válečky, fólie, brusivo)</t>
        </is>
      </c>
      <c r="C151" t="inlineStr">
        <is>
          <t>Štětec obyčejný  50</t>
        </is>
      </c>
      <c r="D151" t="inlineStr">
        <is>
          <t>1000000004373</t>
        </is>
      </c>
      <c r="E151" t="n">
        <v>32</v>
      </c>
      <c r="F151" t="n">
        <v>3</v>
      </c>
      <c r="G151" t="n">
        <v>5</v>
      </c>
      <c r="H151" t="n">
        <v>4</v>
      </c>
      <c r="I151" t="n">
        <v>80</v>
      </c>
      <c r="J151" t="n">
        <v>241</v>
      </c>
      <c r="K151" t="n">
        <v>1</v>
      </c>
      <c r="L151" t="inlineStr">
        <is>
          <t>Ciret s.r.o.</t>
        </is>
      </c>
      <c r="M151" t="inlineStr">
        <is>
          <t>Drogerie/Technické/Ciret</t>
        </is>
      </c>
    </row>
    <row r="152">
      <c r="A152" t="inlineStr">
        <is>
          <t>jádro</t>
        </is>
      </c>
      <c r="B152" t="inlineStr">
        <is>
          <t>Malířské potřeby (štětce, válečky, fólie, brusivo)</t>
        </is>
      </c>
      <c r="C152" t="inlineStr">
        <is>
          <t xml:space="preserve">Štětec Vala profi vel. 1,5 </t>
        </is>
      </c>
      <c r="D152" t="inlineStr">
        <is>
          <t>8584013729230</t>
        </is>
      </c>
      <c r="E152" t="n">
        <v>87</v>
      </c>
      <c r="F152" t="n">
        <v>4</v>
      </c>
      <c r="G152" t="n">
        <v>4</v>
      </c>
      <c r="H152" t="n">
        <v>4</v>
      </c>
      <c r="I152" t="n">
        <v>288</v>
      </c>
      <c r="J152" t="n">
        <v>53</v>
      </c>
      <c r="K152" t="n">
        <v>10</v>
      </c>
      <c r="L152" t="inlineStr">
        <is>
          <t>Schuller Eh'klar s.r.o.</t>
        </is>
      </c>
      <c r="M152" t="inlineStr">
        <is>
          <t>Drogerie/Technické/Schuller</t>
        </is>
      </c>
    </row>
    <row r="153">
      <c r="A153" t="inlineStr">
        <is>
          <t>jádro</t>
        </is>
      </c>
      <c r="B153" t="inlineStr">
        <is>
          <t>Malířské potřeby (štětce, válečky, fólie, brusivo)</t>
        </is>
      </c>
      <c r="C153" t="inlineStr">
        <is>
          <t>Vanička na barvu 15x28cm</t>
        </is>
      </c>
      <c r="D153" t="inlineStr">
        <is>
          <t>9002588404721</t>
        </is>
      </c>
      <c r="E153" t="n">
        <v>22</v>
      </c>
      <c r="F153" t="n">
        <v>2</v>
      </c>
      <c r="G153" t="n">
        <v>6</v>
      </c>
      <c r="H153" t="n">
        <v>4</v>
      </c>
      <c r="I153" t="n">
        <v>73</v>
      </c>
      <c r="J153" t="n">
        <v>91</v>
      </c>
      <c r="K153" t="n">
        <v>4</v>
      </c>
      <c r="L153" t="inlineStr">
        <is>
          <t>Schuller Eh'klar s.r.o.</t>
        </is>
      </c>
      <c r="M153" t="inlineStr">
        <is>
          <t>Drogerie/Technické/Schuller</t>
        </is>
      </c>
    </row>
    <row r="154">
      <c r="A154" t="inlineStr">
        <is>
          <t>jádro</t>
        </is>
      </c>
      <c r="B154" t="inlineStr">
        <is>
          <t>Malířské potřeby (štětce, válečky, fólie, brusivo)</t>
        </is>
      </c>
      <c r="C154" t="inlineStr">
        <is>
          <t>Štětec zárohák 1</t>
        </is>
      </c>
      <c r="D154" t="inlineStr">
        <is>
          <t>9002588716824</t>
        </is>
      </c>
      <c r="E154" t="n">
        <v>32</v>
      </c>
      <c r="F154" t="n">
        <v>5</v>
      </c>
      <c r="G154" t="n">
        <v>3</v>
      </c>
      <c r="H154" t="n">
        <v>4</v>
      </c>
      <c r="I154" t="n">
        <v>106</v>
      </c>
      <c r="J154" t="n">
        <v>41</v>
      </c>
      <c r="K154" t="n">
        <v>12</v>
      </c>
      <c r="L154" t="inlineStr">
        <is>
          <t>Schuller Eh'klar s.r.o.</t>
        </is>
      </c>
      <c r="M154" t="inlineStr">
        <is>
          <t>Drogerie/Technické/Schuller</t>
        </is>
      </c>
    </row>
    <row r="155">
      <c r="A155" t="inlineStr">
        <is>
          <t>jádro</t>
        </is>
      </c>
      <c r="B155" t="inlineStr">
        <is>
          <t>Malířské potřeby (štětce, válečky, fólie, brusivo)</t>
        </is>
      </c>
      <c r="C155" t="inlineStr">
        <is>
          <t>Špachtle YORK 60mm</t>
        </is>
      </c>
      <c r="D155" t="inlineStr">
        <is>
          <t>8595047700416</t>
        </is>
      </c>
      <c r="E155" t="n">
        <v>68</v>
      </c>
      <c r="F155" t="n">
        <v>8</v>
      </c>
      <c r="G155" t="n">
        <v>0</v>
      </c>
      <c r="H155" t="n">
        <v>4</v>
      </c>
      <c r="I155" t="n">
        <v>213</v>
      </c>
      <c r="J155" t="n">
        <v>81</v>
      </c>
      <c r="K155" t="n">
        <v>3</v>
      </c>
      <c r="L155" t="inlineStr">
        <is>
          <t>FILÁK ŠENOV s.r.o.</t>
        </is>
      </c>
      <c r="M155" t="inlineStr">
        <is>
          <t>Drogerie/Technické/Filák</t>
        </is>
      </c>
    </row>
    <row r="156">
      <c r="A156" t="inlineStr">
        <is>
          <t>jádro</t>
        </is>
      </c>
      <c r="B156" t="inlineStr">
        <is>
          <t>Malířské potřeby (štětce, válečky, fólie, brusivo)</t>
        </is>
      </c>
      <c r="C156" t="inlineStr">
        <is>
          <t>Zakrývací fólie 4mx5m (stavební) Super 40µm CZ/SK/PL/HU/SI</t>
        </is>
      </c>
      <c r="D156" t="inlineStr">
        <is>
          <t>4004034605053</t>
        </is>
      </c>
      <c r="E156" t="n">
        <v>99</v>
      </c>
      <c r="F156" t="n">
        <v>1</v>
      </c>
      <c r="G156" t="n">
        <v>7</v>
      </c>
      <c r="H156" t="n">
        <v>4</v>
      </c>
      <c r="I156" t="n">
        <v>327</v>
      </c>
      <c r="J156" t="n">
        <v>119</v>
      </c>
      <c r="K156" t="n">
        <v>9</v>
      </c>
      <c r="L156" t="inlineStr">
        <is>
          <t>Den Braven Czech and Slovak a.s.</t>
        </is>
      </c>
      <c r="M156" t="inlineStr">
        <is>
          <t>Drogerie/Technické/DEN BRAVEN</t>
        </is>
      </c>
    </row>
    <row r="157">
      <c r="A157" t="inlineStr">
        <is>
          <t>jádro</t>
        </is>
      </c>
      <c r="B157" t="inlineStr">
        <is>
          <t>Malířské potřeby (štětce, válečky, fólie, brusivo)</t>
        </is>
      </c>
      <c r="C157" t="inlineStr">
        <is>
          <t>Japon špachtle čdílná sada SB</t>
        </is>
      </c>
      <c r="D157" t="inlineStr">
        <is>
          <t>9002588501109</t>
        </is>
      </c>
      <c r="E157" t="n">
        <v>55</v>
      </c>
      <c r="F157" t="n">
        <v>2</v>
      </c>
      <c r="G157" t="n">
        <v>5</v>
      </c>
      <c r="H157" t="n">
        <v>3.5</v>
      </c>
      <c r="I157" t="n">
        <v>153</v>
      </c>
      <c r="J157" t="n">
        <v>69</v>
      </c>
      <c r="K157" t="n">
        <v>1</v>
      </c>
      <c r="L157" t="inlineStr">
        <is>
          <t>Schuller Eh'klar s.r.o.</t>
        </is>
      </c>
      <c r="M157" t="inlineStr">
        <is>
          <t>Drogerie/Technické/Schuller</t>
        </is>
      </c>
    </row>
    <row r="158">
      <c r="A158" t="inlineStr">
        <is>
          <t>jádro</t>
        </is>
      </c>
      <c r="B158" t="inlineStr">
        <is>
          <t>Malířské potřeby (štětce, válečky, fólie, brusivo)</t>
        </is>
      </c>
      <c r="C158" t="inlineStr">
        <is>
          <t>Štětec natur profi 1 plochý</t>
        </is>
      </c>
      <c r="D158" t="inlineStr">
        <is>
          <t>8584013760011</t>
        </is>
      </c>
      <c r="E158" t="n">
        <v>74</v>
      </c>
      <c r="F158" t="n">
        <v>3</v>
      </c>
      <c r="G158" t="n">
        <v>4</v>
      </c>
      <c r="H158" t="n">
        <v>3.5</v>
      </c>
      <c r="I158" t="n">
        <v>214</v>
      </c>
      <c r="J158" t="n">
        <v>43</v>
      </c>
      <c r="K158" t="n">
        <v>0</v>
      </c>
      <c r="L158" t="inlineStr">
        <is>
          <t>Schuller Eh'klar s.r.o.</t>
        </is>
      </c>
      <c r="M158" t="inlineStr">
        <is>
          <t>Drogerie/Technické/Schuller</t>
        </is>
      </c>
    </row>
    <row r="159">
      <c r="A159" t="inlineStr">
        <is>
          <t>jádro</t>
        </is>
      </c>
      <c r="B159" t="inlineStr">
        <is>
          <t>Malířské potřeby (štětce, válečky, fólie, brusivo)</t>
        </is>
      </c>
      <c r="C159" t="inlineStr">
        <is>
          <t>Štětec obyčejný  25</t>
        </is>
      </c>
      <c r="D159" t="inlineStr">
        <is>
          <t xml:space="preserve">1000000004359 </t>
        </is>
      </c>
      <c r="E159" t="n">
        <v>15</v>
      </c>
      <c r="F159" t="n">
        <v>3</v>
      </c>
      <c r="G159" t="n">
        <v>4</v>
      </c>
      <c r="H159" t="n">
        <v>3.5</v>
      </c>
      <c r="I159" t="n">
        <v>43</v>
      </c>
      <c r="J159" t="n">
        <v>60</v>
      </c>
      <c r="K159" t="n">
        <v>0</v>
      </c>
      <c r="L159" t="inlineStr">
        <is>
          <t>Ciret s.r.o.</t>
        </is>
      </c>
      <c r="M159" t="inlineStr">
        <is>
          <t>Drogerie/Technické/Ciret</t>
        </is>
      </c>
    </row>
    <row r="160">
      <c r="A160" t="inlineStr">
        <is>
          <t>jádro</t>
        </is>
      </c>
      <c r="B160" t="inlineStr">
        <is>
          <t>Malířské potřeby (štětce, válečky, fólie, brusivo)</t>
        </is>
      </c>
      <c r="C160" t="inlineStr">
        <is>
          <t>Štětec umělec. č. 10</t>
        </is>
      </c>
      <c r="D160" t="inlineStr">
        <is>
          <t>9002588750248</t>
        </is>
      </c>
      <c r="E160" t="n">
        <v>21.1</v>
      </c>
      <c r="F160" t="n">
        <v>4</v>
      </c>
      <c r="G160" t="n">
        <v>3</v>
      </c>
      <c r="H160" t="n">
        <v>3.5</v>
      </c>
      <c r="I160" t="n">
        <v>60</v>
      </c>
      <c r="J160" t="n">
        <v>71</v>
      </c>
      <c r="K160" t="n">
        <v>4</v>
      </c>
      <c r="L160" t="inlineStr">
        <is>
          <t>Schuller Eh'klar s.r.o.</t>
        </is>
      </c>
      <c r="M160" t="inlineStr">
        <is>
          <t>Drogerie/Technické/Schuller</t>
        </is>
      </c>
    </row>
    <row r="161">
      <c r="A161" t="inlineStr">
        <is>
          <t>jádro</t>
        </is>
      </c>
      <c r="B161" t="inlineStr">
        <is>
          <t>Malířské potřeby (štětce, válečky, fólie, brusivo)</t>
        </is>
      </c>
      <c r="C161" t="inlineStr">
        <is>
          <t>Waterproof P 1500 - brusný papír pod vodu arch</t>
        </is>
      </c>
      <c r="D161" t="inlineStr">
        <is>
          <t>1000000008135</t>
        </is>
      </c>
      <c r="E161" t="n">
        <v>15</v>
      </c>
      <c r="F161" t="n">
        <v>4</v>
      </c>
      <c r="G161" t="n">
        <v>3</v>
      </c>
      <c r="H161" t="n">
        <v>3.5</v>
      </c>
      <c r="I161" t="n">
        <v>43</v>
      </c>
      <c r="J161" t="n">
        <v>101</v>
      </c>
      <c r="K161" t="n">
        <v>46</v>
      </c>
      <c r="L161" t="inlineStr">
        <is>
          <t>BODY COLOR, s.r.o.</t>
        </is>
      </c>
      <c r="M161" t="inlineStr">
        <is>
          <t>Drogerie/Technické/BODY</t>
        </is>
      </c>
    </row>
    <row r="162">
      <c r="A162" t="inlineStr">
        <is>
          <t>jádro</t>
        </is>
      </c>
      <c r="B162" t="inlineStr">
        <is>
          <t>Malířské potřeby (štětce, válečky, fólie, brusivo)</t>
        </is>
      </c>
      <c r="C162" t="inlineStr">
        <is>
          <t>Body míchací pohár 385ml -300ml</t>
        </is>
      </c>
      <c r="D162" t="inlineStr">
        <is>
          <t>2000000009360</t>
        </is>
      </c>
      <c r="E162" t="n">
        <v>21</v>
      </c>
      <c r="F162" t="n">
        <v>5</v>
      </c>
      <c r="G162" t="n">
        <v>2</v>
      </c>
      <c r="H162" t="n">
        <v>3.5</v>
      </c>
      <c r="I162" t="n">
        <v>56</v>
      </c>
      <c r="J162" t="n">
        <v>46</v>
      </c>
      <c r="K162" t="n">
        <v>8</v>
      </c>
      <c r="L162" t="inlineStr">
        <is>
          <t>PPG Deco Czech a.s.</t>
        </is>
      </c>
      <c r="M162" t="inlineStr">
        <is>
          <t>Drogerie/Technické/BODY</t>
        </is>
      </c>
    </row>
    <row r="163">
      <c r="A163" t="inlineStr">
        <is>
          <t>jádro</t>
        </is>
      </c>
      <c r="B163" t="inlineStr">
        <is>
          <t>Malířské potřeby (štětce, válečky, fólie, brusivo)</t>
        </is>
      </c>
      <c r="C163" t="inlineStr">
        <is>
          <t>Houba brusná 100 x 70 x 25 mm hrubost 120</t>
        </is>
      </c>
      <c r="D163" t="inlineStr">
        <is>
          <t>8590804016533</t>
        </is>
      </c>
      <c r="E163" t="n">
        <v>26</v>
      </c>
      <c r="F163" t="n">
        <v>1</v>
      </c>
      <c r="G163" t="n">
        <v>6</v>
      </c>
      <c r="H163" t="n">
        <v>3.5</v>
      </c>
      <c r="I163" t="n">
        <v>74</v>
      </c>
      <c r="J163" t="n">
        <v>98</v>
      </c>
      <c r="K163" t="n">
        <v>3</v>
      </c>
      <c r="L163" t="inlineStr">
        <is>
          <t>EURO NÁŘADÍ s.r.o.</t>
        </is>
      </c>
      <c r="M163" t="inlineStr">
        <is>
          <t>Drogerie/Technické/Euronářadí</t>
        </is>
      </c>
    </row>
    <row r="164">
      <c r="A164" t="inlineStr">
        <is>
          <t>jádro</t>
        </is>
      </c>
      <c r="B164" t="inlineStr">
        <is>
          <t>Malířské potřeby (štětce, válečky, fólie, brusivo)</t>
        </is>
      </c>
      <c r="C164" t="inlineStr">
        <is>
          <t xml:space="preserve">Brusná houba </t>
        </is>
      </c>
      <c r="D164" t="inlineStr">
        <is>
          <t>9002588600420</t>
        </is>
      </c>
      <c r="E164" t="n">
        <v>27</v>
      </c>
      <c r="F164" t="n">
        <v>2</v>
      </c>
      <c r="G164" t="n">
        <v>5</v>
      </c>
      <c r="H164" t="n">
        <v>3.5</v>
      </c>
      <c r="I164" t="n">
        <v>77</v>
      </c>
      <c r="J164" t="n">
        <v>48</v>
      </c>
      <c r="K164" t="n">
        <v>4</v>
      </c>
      <c r="L164" t="inlineStr">
        <is>
          <t>Schuller Eh'klar s.r.o.</t>
        </is>
      </c>
      <c r="M164" t="inlineStr">
        <is>
          <t>Drogerie/Technické/Schuller</t>
        </is>
      </c>
    </row>
    <row r="165">
      <c r="A165" t="inlineStr">
        <is>
          <t>jádro</t>
        </is>
      </c>
      <c r="B165" t="inlineStr">
        <is>
          <t>Malířské potřeby (štětce, válečky, fólie, brusivo)</t>
        </is>
      </c>
      <c r="C165" t="inlineStr">
        <is>
          <t>Štětec plochý 4,0" - světlá čínská štětina, plastové držadlo</t>
        </is>
      </c>
      <c r="D165" t="inlineStr">
        <is>
          <t>8595026036444</t>
        </is>
      </c>
      <c r="E165" t="n">
        <v>129</v>
      </c>
      <c r="F165" t="n">
        <v>7</v>
      </c>
      <c r="G165" t="n">
        <v>0</v>
      </c>
      <c r="H165" t="n">
        <v>3.5</v>
      </c>
      <c r="I165" t="n">
        <v>373</v>
      </c>
      <c r="J165" t="n">
        <v>46</v>
      </c>
      <c r="K165" t="n">
        <v>0</v>
      </c>
      <c r="L165" t="inlineStr">
        <is>
          <t>Ciret s.r.o.</t>
        </is>
      </c>
      <c r="M165" t="inlineStr">
        <is>
          <t>Drogerie/Technické/Ciret</t>
        </is>
      </c>
    </row>
    <row r="166">
      <c r="A166" t="inlineStr">
        <is>
          <t>jádro</t>
        </is>
      </c>
      <c r="B166" t="inlineStr">
        <is>
          <t>Malířské potřeby (štětce, válečky, fólie, brusivo)</t>
        </is>
      </c>
      <c r="C166" t="inlineStr">
        <is>
          <t>Qpower destilovaná voda 5l</t>
        </is>
      </c>
      <c r="D166" t="inlineStr">
        <is>
          <t>8590273703613</t>
        </is>
      </c>
      <c r="E166" t="n">
        <v>70</v>
      </c>
      <c r="F166" t="n">
        <v>3</v>
      </c>
      <c r="G166" t="n">
        <v>3</v>
      </c>
      <c r="H166" t="n">
        <v>3</v>
      </c>
      <c r="I166" t="n">
        <v>167</v>
      </c>
      <c r="J166" t="n">
        <v>107</v>
      </c>
      <c r="K166" t="n">
        <v>5</v>
      </c>
      <c r="L166" t="inlineStr">
        <is>
          <t>Solvent ČR s.r.o.</t>
        </is>
      </c>
      <c r="M166" t="inlineStr">
        <is>
          <t>Drogerie/Drogerie/PKS</t>
        </is>
      </c>
    </row>
    <row r="167">
      <c r="A167" t="inlineStr">
        <is>
          <t>jádro</t>
        </is>
      </c>
      <c r="B167" t="inlineStr">
        <is>
          <t>Malířské potřeby (štětce, válečky, fólie, brusivo)</t>
        </is>
      </c>
      <c r="C167" t="inlineStr">
        <is>
          <t>Štětec na email O</t>
        </is>
      </c>
      <c r="D167" t="inlineStr">
        <is>
          <t>9002588700502</t>
        </is>
      </c>
      <c r="E167" t="n">
        <v>18</v>
      </c>
      <c r="F167" t="n">
        <v>3</v>
      </c>
      <c r="G167" t="n">
        <v>3</v>
      </c>
      <c r="H167" t="n">
        <v>3</v>
      </c>
      <c r="I167" t="n">
        <v>45</v>
      </c>
      <c r="J167" t="n">
        <v>47</v>
      </c>
      <c r="K167" t="n">
        <v>6</v>
      </c>
      <c r="L167" t="inlineStr">
        <is>
          <t>Schuller Eh'klar s.r.o.</t>
        </is>
      </c>
      <c r="M167" t="inlineStr">
        <is>
          <t>Drogerie/Technické/Schuller</t>
        </is>
      </c>
    </row>
    <row r="168">
      <c r="A168" t="inlineStr">
        <is>
          <t>jádro</t>
        </is>
      </c>
      <c r="B168" t="inlineStr">
        <is>
          <t>Malířské potřeby (štětce, válečky, fólie, brusivo)</t>
        </is>
      </c>
      <c r="C168" t="inlineStr">
        <is>
          <t>Štětec natur profi 2,5 plochý</t>
        </is>
      </c>
      <c r="D168" t="inlineStr">
        <is>
          <t>8584013760035</t>
        </is>
      </c>
      <c r="E168" t="n">
        <v>137</v>
      </c>
      <c r="F168" t="n">
        <v>2</v>
      </c>
      <c r="G168" t="n">
        <v>4</v>
      </c>
      <c r="H168" t="n">
        <v>3</v>
      </c>
      <c r="I168" t="n">
        <v>340</v>
      </c>
      <c r="J168" t="n">
        <v>42</v>
      </c>
      <c r="K168" t="n">
        <v>3</v>
      </c>
      <c r="L168" t="inlineStr">
        <is>
          <t>Schuller Eh'klar s.r.o.</t>
        </is>
      </c>
      <c r="M168" t="inlineStr">
        <is>
          <t>Drogerie/Technické/Schuller</t>
        </is>
      </c>
    </row>
    <row r="169">
      <c r="A169" t="inlineStr">
        <is>
          <t>jádro</t>
        </is>
      </c>
      <c r="B169" t="inlineStr">
        <is>
          <t>Malířské potřeby (štětce, válečky, fólie, brusivo)</t>
        </is>
      </c>
      <c r="C169" t="inlineStr">
        <is>
          <t>Štětec plochý TOP Q 30 mm cream</t>
        </is>
      </c>
      <c r="D169" t="inlineStr">
        <is>
          <t>9002588726724</t>
        </is>
      </c>
      <c r="E169" t="n">
        <v>34</v>
      </c>
      <c r="F169" t="n">
        <v>0</v>
      </c>
      <c r="G169" t="n">
        <v>6</v>
      </c>
      <c r="H169" t="n">
        <v>3</v>
      </c>
      <c r="I169" t="n">
        <v>84</v>
      </c>
      <c r="J169" t="n">
        <v>48</v>
      </c>
      <c r="K169" t="n">
        <v>0</v>
      </c>
      <c r="L169" t="inlineStr">
        <is>
          <t>Schuller Eh'klar s.r.o.</t>
        </is>
      </c>
      <c r="M169" t="inlineStr">
        <is>
          <t>Drogerie/Technické/Schuller</t>
        </is>
      </c>
    </row>
    <row r="170">
      <c r="A170" t="inlineStr">
        <is>
          <t>jádro</t>
        </is>
      </c>
      <c r="B170" t="inlineStr">
        <is>
          <t>Malířské potřeby (štětce, válečky, fólie, brusivo)</t>
        </is>
      </c>
      <c r="C170" t="inlineStr">
        <is>
          <t>Zakrývací folie silná 4x5m 10my</t>
        </is>
      </c>
      <c r="D170" t="inlineStr">
        <is>
          <t>9002588458052</t>
        </is>
      </c>
      <c r="E170" t="n">
        <v>49</v>
      </c>
      <c r="F170" t="n">
        <v>0</v>
      </c>
      <c r="G170" t="n">
        <v>6</v>
      </c>
      <c r="H170" t="n">
        <v>3</v>
      </c>
      <c r="I170" t="n">
        <v>119</v>
      </c>
      <c r="J170" t="n">
        <v>79</v>
      </c>
      <c r="K170" t="n">
        <v>0</v>
      </c>
      <c r="L170" t="inlineStr">
        <is>
          <t>Schuller Eh'klar s.r.o.</t>
        </is>
      </c>
      <c r="M170" t="inlineStr">
        <is>
          <t>Drogerie/Technické/Schuller</t>
        </is>
      </c>
    </row>
    <row r="171">
      <c r="A171" t="inlineStr">
        <is>
          <t>jádro</t>
        </is>
      </c>
      <c r="B171" t="inlineStr">
        <is>
          <t>Malířské potřeby (štětce, válečky, fólie, brusivo)</t>
        </is>
      </c>
      <c r="C171" t="inlineStr">
        <is>
          <t>body míchací pohár 750ml-600ml</t>
        </is>
      </c>
      <c r="D171" t="inlineStr">
        <is>
          <t>5203473021489</t>
        </is>
      </c>
      <c r="E171" t="n">
        <v>25</v>
      </c>
      <c r="F171" t="n">
        <v>5</v>
      </c>
      <c r="G171" t="n">
        <v>1</v>
      </c>
      <c r="H171" t="n">
        <v>3</v>
      </c>
      <c r="I171" t="n">
        <v>59</v>
      </c>
      <c r="J171" t="n">
        <v>43</v>
      </c>
      <c r="K171" t="n">
        <v>2</v>
      </c>
      <c r="L171" t="inlineStr">
        <is>
          <t>BODY COLOR, s.r.o.</t>
        </is>
      </c>
      <c r="M171" t="inlineStr">
        <is>
          <t>Drogerie/Technické/BODY</t>
        </is>
      </c>
    </row>
    <row r="172">
      <c r="A172" t="inlineStr">
        <is>
          <t>jádro</t>
        </is>
      </c>
      <c r="B172" t="inlineStr">
        <is>
          <t>Malířské potřeby (štětce, válečky, fólie, brusivo)</t>
        </is>
      </c>
      <c r="C172" t="inlineStr">
        <is>
          <t xml:space="preserve">Hladítko pro brusnou mřížku 230 x 90 </t>
        </is>
      </c>
      <c r="D172" t="inlineStr">
        <is>
          <t>8590804004776</t>
        </is>
      </c>
      <c r="E172" t="n">
        <v>98</v>
      </c>
      <c r="F172" t="n">
        <v>3</v>
      </c>
      <c r="G172" t="n">
        <v>3</v>
      </c>
      <c r="H172" t="n">
        <v>3</v>
      </c>
      <c r="I172" t="n">
        <v>243</v>
      </c>
      <c r="J172" t="n">
        <v>70</v>
      </c>
      <c r="K172" t="n">
        <v>0</v>
      </c>
      <c r="L172" t="inlineStr">
        <is>
          <t>EURO NÁŘADÍ s.r.o.</t>
        </is>
      </c>
      <c r="M172" t="inlineStr">
        <is>
          <t>Drogerie/Technické/Euronářadí</t>
        </is>
      </c>
    </row>
    <row r="173">
      <c r="A173" t="inlineStr">
        <is>
          <t>jádro</t>
        </is>
      </c>
      <c r="B173" t="inlineStr">
        <is>
          <t>Malířské potřeby (štětce, válečky, fólie, brusivo)</t>
        </is>
      </c>
      <c r="C173" t="inlineStr">
        <is>
          <t>Karosářská špachtle</t>
        </is>
      </c>
      <c r="D173" t="inlineStr">
        <is>
          <t>9002588506043</t>
        </is>
      </c>
      <c r="E173" t="n">
        <v>16</v>
      </c>
      <c r="F173" t="n">
        <v>2</v>
      </c>
      <c r="G173" t="n">
        <v>4</v>
      </c>
      <c r="H173" t="n">
        <v>3</v>
      </c>
      <c r="I173" t="n">
        <v>40</v>
      </c>
      <c r="J173" t="n">
        <v>66</v>
      </c>
      <c r="K173" t="n">
        <v>-2</v>
      </c>
      <c r="L173" t="inlineStr">
        <is>
          <t>Schuller Eh'klar s.r.o.</t>
        </is>
      </c>
      <c r="M173" t="inlineStr">
        <is>
          <t>Drogerie/Technické/Schuller</t>
        </is>
      </c>
    </row>
    <row r="174">
      <c r="A174" t="inlineStr">
        <is>
          <t>jádro</t>
        </is>
      </c>
      <c r="B174" t="inlineStr">
        <is>
          <t>Malířské potřeby (štětce, válečky, fólie, brusivo)</t>
        </is>
      </c>
      <c r="C174" t="inlineStr">
        <is>
          <t>Mřížka  brusná 93x290 mm, P 120, 3ks</t>
        </is>
      </c>
      <c r="D174" t="inlineStr">
        <is>
          <t>8590804005995</t>
        </is>
      </c>
      <c r="E174" t="n">
        <v>25</v>
      </c>
      <c r="F174" t="n">
        <v>2</v>
      </c>
      <c r="G174" t="n">
        <v>4</v>
      </c>
      <c r="H174" t="n">
        <v>3</v>
      </c>
      <c r="I174" t="n">
        <v>62</v>
      </c>
      <c r="J174" t="n">
        <v>80</v>
      </c>
      <c r="K174" t="n">
        <v>3</v>
      </c>
      <c r="L174" t="inlineStr">
        <is>
          <t>EURO NÁŘADÍ s.r.o.</t>
        </is>
      </c>
      <c r="M174" t="inlineStr">
        <is>
          <t>Drogerie/Technické/Euronářadí</t>
        </is>
      </c>
    </row>
    <row r="175">
      <c r="A175" t="inlineStr">
        <is>
          <t>jádro</t>
        </is>
      </c>
      <c r="B175" t="inlineStr">
        <is>
          <t>Malířské potřeby (štětce, válečky, fólie, brusivo)</t>
        </is>
      </c>
      <c r="C175" t="inlineStr">
        <is>
          <t>Štětec plochý 2,5" - světlá čínská štětina, plastové držadlo</t>
        </is>
      </c>
      <c r="D175" t="inlineStr">
        <is>
          <t>8595026036413</t>
        </is>
      </c>
      <c r="E175" t="n">
        <v>72</v>
      </c>
      <c r="F175" t="n">
        <v>5</v>
      </c>
      <c r="G175" t="n">
        <v>1</v>
      </c>
      <c r="H175" t="n">
        <v>3</v>
      </c>
      <c r="I175" t="n">
        <v>176</v>
      </c>
      <c r="J175" t="n">
        <v>63</v>
      </c>
      <c r="K175" t="n">
        <v>6</v>
      </c>
      <c r="L175" t="inlineStr">
        <is>
          <t>Ciret s.r.o.</t>
        </is>
      </c>
      <c r="M175" t="inlineStr">
        <is>
          <t>Drogerie/Technické/Ciret</t>
        </is>
      </c>
    </row>
    <row r="176">
      <c r="A176" t="inlineStr">
        <is>
          <t>jádro</t>
        </is>
      </c>
      <c r="B176" t="inlineStr">
        <is>
          <t>Malířské potřeby (štětce, válečky, fólie, brusivo)</t>
        </is>
      </c>
      <c r="C176" t="inlineStr">
        <is>
          <t>Osmo vložka vyměnitelná pro vaničku lakovací 25cm</t>
        </is>
      </c>
      <c r="D176" t="inlineStr">
        <is>
          <t>2000000100272</t>
        </is>
      </c>
      <c r="E176" t="n">
        <v>62</v>
      </c>
      <c r="F176" t="n">
        <v>1</v>
      </c>
      <c r="G176" t="n">
        <v>5</v>
      </c>
      <c r="H176" t="n">
        <v>3</v>
      </c>
      <c r="I176" t="n">
        <v>149</v>
      </c>
      <c r="J176" t="n">
        <v>32</v>
      </c>
      <c r="K176" t="n">
        <v>13</v>
      </c>
      <c r="L176" t="inlineStr">
        <is>
          <t>PROZK s.r.o.</t>
        </is>
      </c>
      <c r="M176" t="inlineStr">
        <is>
          <t>Drogerie/Technické/Osmo</t>
        </is>
      </c>
    </row>
    <row r="177">
      <c r="A177" t="inlineStr">
        <is>
          <t>jádro</t>
        </is>
      </c>
      <c r="B177" t="inlineStr">
        <is>
          <t>Malířské potřeby (štětce, válečky, fólie, brusivo)</t>
        </is>
      </c>
      <c r="C177" t="inlineStr">
        <is>
          <t xml:space="preserve">Destilovaná voda 10 litr </t>
        </is>
      </c>
      <c r="D177" t="inlineStr">
        <is>
          <t>8595030521257</t>
        </is>
      </c>
      <c r="E177" t="n">
        <v>142</v>
      </c>
      <c r="F177" t="n">
        <v>4</v>
      </c>
      <c r="G177" t="n">
        <v>2</v>
      </c>
      <c r="H177" t="n">
        <v>3</v>
      </c>
      <c r="I177" t="n">
        <v>339</v>
      </c>
      <c r="J177" t="n">
        <v>47</v>
      </c>
      <c r="K177" t="n">
        <v>2</v>
      </c>
      <c r="L177" t="inlineStr">
        <is>
          <t>Solvent ČR s.r.o.</t>
        </is>
      </c>
      <c r="M177" t="inlineStr">
        <is>
          <t>Drogerie/Drogerie/PKS</t>
        </is>
      </c>
    </row>
    <row r="178">
      <c r="A178" t="inlineStr">
        <is>
          <t>jádro</t>
        </is>
      </c>
      <c r="B178" t="inlineStr">
        <is>
          <t>Malířské potřeby (štětce, válečky, fólie, brusivo)</t>
        </is>
      </c>
      <c r="C178" t="inlineStr">
        <is>
          <t>Štětec Voďák 30mm</t>
        </is>
      </c>
      <c r="D178" t="inlineStr">
        <is>
          <t>9002588724324</t>
        </is>
      </c>
      <c r="E178" t="n">
        <v>45</v>
      </c>
      <c r="F178" t="n">
        <v>2</v>
      </c>
      <c r="G178" t="n">
        <v>4</v>
      </c>
      <c r="H178" t="n">
        <v>3</v>
      </c>
      <c r="I178" t="n">
        <v>106</v>
      </c>
      <c r="J178" t="n">
        <v>46</v>
      </c>
      <c r="K178" t="n">
        <v>5</v>
      </c>
      <c r="L178" t="inlineStr">
        <is>
          <t>Schuller Eh'klar s.r.o.</t>
        </is>
      </c>
      <c r="M178" t="inlineStr">
        <is>
          <t>Drogerie/Technické/Schuller</t>
        </is>
      </c>
    </row>
    <row r="179">
      <c r="A179" t="inlineStr">
        <is>
          <t>jádro</t>
        </is>
      </c>
      <c r="B179" t="inlineStr">
        <is>
          <t>Malířské potřeby (štětce, válečky, fólie, brusivo)</t>
        </is>
      </c>
      <c r="C179" t="inlineStr">
        <is>
          <t>Štětec voďák 40mm</t>
        </is>
      </c>
      <c r="D179" t="inlineStr">
        <is>
          <t>9002588724331</t>
        </is>
      </c>
      <c r="E179" t="n">
        <v>58</v>
      </c>
      <c r="F179" t="n">
        <v>0</v>
      </c>
      <c r="G179" t="n">
        <v>6</v>
      </c>
      <c r="H179" t="n">
        <v>3</v>
      </c>
      <c r="I179" t="n">
        <v>144</v>
      </c>
      <c r="J179" t="n">
        <v>52</v>
      </c>
      <c r="K179" t="n">
        <v>7</v>
      </c>
      <c r="L179" t="inlineStr">
        <is>
          <t>Schuller Eh'klar s.r.o.</t>
        </is>
      </c>
      <c r="M179" t="inlineStr">
        <is>
          <t>Drogerie/Technické/Schuller</t>
        </is>
      </c>
    </row>
    <row r="180">
      <c r="A180" t="inlineStr">
        <is>
          <t>jádro</t>
        </is>
      </c>
      <c r="B180" t="inlineStr">
        <is>
          <t>Malířské potřeby (štětce, válečky, fólie, brusivo)</t>
        </is>
      </c>
      <c r="C180" t="inlineStr">
        <is>
          <t>Štětec zárohák 2,5</t>
        </is>
      </c>
      <c r="D180" t="inlineStr">
        <is>
          <t>9002588716855</t>
        </is>
      </c>
      <c r="E180" t="n">
        <v>52</v>
      </c>
      <c r="F180" t="n">
        <v>2</v>
      </c>
      <c r="G180" t="n">
        <v>4</v>
      </c>
      <c r="H180" t="n">
        <v>3</v>
      </c>
      <c r="I180" t="n">
        <v>127</v>
      </c>
      <c r="J180" t="n">
        <v>49</v>
      </c>
      <c r="K180" t="n">
        <v>11</v>
      </c>
      <c r="L180" t="inlineStr">
        <is>
          <t>Schuller Eh'klar s.r.o.</t>
        </is>
      </c>
      <c r="M180" t="inlineStr">
        <is>
          <t>Drogerie/Technické/Schuller</t>
        </is>
      </c>
    </row>
    <row r="181">
      <c r="A181" t="inlineStr">
        <is>
          <t>jádro</t>
        </is>
      </c>
      <c r="B181" t="inlineStr">
        <is>
          <t>Malířské potřeby (štětce, válečky, fólie, brusivo)</t>
        </is>
      </c>
      <c r="C181" t="inlineStr">
        <is>
          <t>Váleček na radiátory Nylon 100 mm</t>
        </is>
      </c>
      <c r="D181" t="inlineStr">
        <is>
          <t>9002588200156</t>
        </is>
      </c>
      <c r="E181" t="n">
        <v>22</v>
      </c>
      <c r="F181" t="n">
        <v>2</v>
      </c>
      <c r="G181" t="n">
        <v>4</v>
      </c>
      <c r="H181" t="n">
        <v>3</v>
      </c>
      <c r="I181" t="n">
        <v>51</v>
      </c>
      <c r="J181" t="n">
        <v>72</v>
      </c>
      <c r="K181" t="n">
        <v>13</v>
      </c>
      <c r="L181" t="inlineStr">
        <is>
          <t>Schuller Eh'klar s.r.o.</t>
        </is>
      </c>
      <c r="M181" t="inlineStr">
        <is>
          <t>Drogerie/Technické/Schuller</t>
        </is>
      </c>
    </row>
    <row r="182">
      <c r="A182" t="inlineStr">
        <is>
          <t>jádro</t>
        </is>
      </c>
      <c r="B182" t="inlineStr">
        <is>
          <t>Malířské potřeby (štětce, válečky, fólie, brusivo)</t>
        </is>
      </c>
      <c r="C182" t="inlineStr">
        <is>
          <t xml:space="preserve">Váleček na lak 110 mm zaoblený </t>
        </is>
      </c>
      <c r="D182" t="inlineStr">
        <is>
          <t>9002588224961</t>
        </is>
      </c>
      <c r="E182" t="n">
        <v>23</v>
      </c>
      <c r="F182" t="n">
        <v>2</v>
      </c>
      <c r="G182" t="n">
        <v>4</v>
      </c>
      <c r="H182" t="n">
        <v>3</v>
      </c>
      <c r="I182" t="n">
        <v>56</v>
      </c>
      <c r="J182" t="n">
        <v>60</v>
      </c>
      <c r="K182" t="n">
        <v>9</v>
      </c>
      <c r="L182" t="inlineStr">
        <is>
          <t>Schuller Eh'klar s.r.o.</t>
        </is>
      </c>
      <c r="M182" t="inlineStr">
        <is>
          <t>Drogerie/Technické/Schuller</t>
        </is>
      </c>
    </row>
    <row r="183">
      <c r="A183" t="inlineStr">
        <is>
          <t>jádro</t>
        </is>
      </c>
      <c r="B183" t="inlineStr">
        <is>
          <t>Malířské potřeby (štětce, válečky, fólie, brusivo)</t>
        </is>
      </c>
      <c r="C183" t="inlineStr">
        <is>
          <t>Fólie zakrývací HDPE 4x12,5m, 0,0045mm, skládaná</t>
        </is>
      </c>
      <c r="D183" t="inlineStr">
        <is>
          <t>4013307318279</t>
        </is>
      </c>
      <c r="E183" t="n">
        <v>55</v>
      </c>
      <c r="F183" t="n">
        <v>6</v>
      </c>
      <c r="G183" t="n">
        <v>0</v>
      </c>
      <c r="H183" t="n">
        <v>3</v>
      </c>
      <c r="I183" t="n">
        <v>136</v>
      </c>
      <c r="J183" t="n">
        <v>136</v>
      </c>
      <c r="K183" t="n">
        <v>23</v>
      </c>
      <c r="L183" t="inlineStr">
        <is>
          <t>Ciret s.r.o.</t>
        </is>
      </c>
      <c r="M183" t="inlineStr">
        <is>
          <t>Drogerie/Technické/Ciret</t>
        </is>
      </c>
    </row>
    <row r="184">
      <c r="A184" t="inlineStr">
        <is>
          <t>jádro</t>
        </is>
      </c>
      <c r="B184" t="inlineStr">
        <is>
          <t>Ochranné pomůcky</t>
        </is>
      </c>
      <c r="C184" t="inlineStr">
        <is>
          <t>Rukavice pracovní PETRAX, velikost 10</t>
        </is>
      </c>
      <c r="D184" t="inlineStr">
        <is>
          <t>8592229374809</t>
        </is>
      </c>
      <c r="E184" t="n">
        <v>59</v>
      </c>
      <c r="F184" t="n">
        <v>10</v>
      </c>
      <c r="G184" t="n">
        <v>6</v>
      </c>
      <c r="H184" t="n">
        <v>8</v>
      </c>
      <c r="I184" t="n">
        <v>390</v>
      </c>
      <c r="J184" t="n">
        <v>57</v>
      </c>
      <c r="K184" t="n">
        <v>13</v>
      </c>
      <c r="L184" t="inlineStr">
        <is>
          <t>EURO NÁŘADÍ s.r.o.</t>
        </is>
      </c>
      <c r="M184" t="inlineStr">
        <is>
          <t>Drogerie/Technické/Euronářadí</t>
        </is>
      </c>
    </row>
    <row r="185">
      <c r="A185" t="inlineStr">
        <is>
          <t>jádro</t>
        </is>
      </c>
      <c r="B185" t="inlineStr">
        <is>
          <t>Ochranné pomůcky</t>
        </is>
      </c>
      <c r="C185" t="inlineStr">
        <is>
          <t xml:space="preserve">Rukavice prac. PETRAX vel. 8 pro alergiky </t>
        </is>
      </c>
      <c r="D185" t="inlineStr">
        <is>
          <t>8592229374793</t>
        </is>
      </c>
      <c r="E185" t="n">
        <v>59</v>
      </c>
      <c r="F185" t="n">
        <v>6</v>
      </c>
      <c r="G185" t="n">
        <v>6</v>
      </c>
      <c r="H185" t="n">
        <v>6</v>
      </c>
      <c r="I185" t="n">
        <v>287</v>
      </c>
      <c r="J185" t="n">
        <v>78</v>
      </c>
      <c r="K185" t="n">
        <v>3</v>
      </c>
      <c r="L185" t="inlineStr">
        <is>
          <t>EURO NÁŘADÍ s.r.o.</t>
        </is>
      </c>
      <c r="M185" t="inlineStr">
        <is>
          <t>Drogerie/Technické/Euronářadí</t>
        </is>
      </c>
    </row>
    <row r="186">
      <c r="A186" t="inlineStr">
        <is>
          <t>jádro</t>
        </is>
      </c>
      <c r="B186" t="inlineStr">
        <is>
          <t>Ochranné pomůcky</t>
        </is>
      </c>
      <c r="C186" t="inlineStr">
        <is>
          <t>Rukavice profi M,L 1+1</t>
        </is>
      </c>
      <c r="D186" t="inlineStr">
        <is>
          <t>8595599101624</t>
        </is>
      </c>
      <c r="E186" t="n">
        <v>28</v>
      </c>
      <c r="F186" t="n">
        <v>10</v>
      </c>
      <c r="G186" t="n">
        <v>0</v>
      </c>
      <c r="H186" t="n">
        <v>5</v>
      </c>
      <c r="I186" t="n">
        <v>58</v>
      </c>
      <c r="J186" t="n">
        <v>139</v>
      </c>
      <c r="K186" t="n">
        <v>7</v>
      </c>
      <c r="L186" t="inlineStr">
        <is>
          <t>Petr Turek</t>
        </is>
      </c>
      <c r="M186" t="inlineStr">
        <is>
          <t>Drogerie/Drogerie/Turek</t>
        </is>
      </c>
    </row>
    <row r="187">
      <c r="A187" t="inlineStr">
        <is>
          <t>jádro</t>
        </is>
      </c>
      <c r="B187" t="inlineStr">
        <is>
          <t>Ochranné pomůcky</t>
        </is>
      </c>
      <c r="C187" t="inlineStr">
        <is>
          <t>Rukavice ALLSTAR soft vel.9 L SOFT</t>
        </is>
      </c>
      <c r="D187" t="inlineStr">
        <is>
          <t>9002588427522</t>
        </is>
      </c>
      <c r="E187" t="n">
        <v>45</v>
      </c>
      <c r="F187" t="n">
        <v>7</v>
      </c>
      <c r="G187" t="n">
        <v>1</v>
      </c>
      <c r="H187" t="n">
        <v>4</v>
      </c>
      <c r="I187" t="n">
        <v>149</v>
      </c>
      <c r="J187" t="n">
        <v>55</v>
      </c>
      <c r="K187" t="n">
        <v>0</v>
      </c>
      <c r="L187" t="inlineStr">
        <is>
          <t>Schuller Eh'klar s.r.o.</t>
        </is>
      </c>
      <c r="M187" t="inlineStr">
        <is>
          <t>Drogerie/Technické/Schuller</t>
        </is>
      </c>
    </row>
    <row r="188">
      <c r="A188" t="inlineStr">
        <is>
          <t>jádro</t>
        </is>
      </c>
      <c r="B188" t="inlineStr">
        <is>
          <t>Ochranné pomůcky</t>
        </is>
      </c>
      <c r="C188" t="inlineStr">
        <is>
          <t>Rukavice pracovní PETRAX, vel.11</t>
        </is>
      </c>
      <c r="D188" t="inlineStr">
        <is>
          <t>8592229374816</t>
        </is>
      </c>
      <c r="E188" t="n">
        <v>65</v>
      </c>
      <c r="F188" t="n">
        <v>4</v>
      </c>
      <c r="G188" t="n">
        <v>4</v>
      </c>
      <c r="H188" t="n">
        <v>4</v>
      </c>
      <c r="I188" t="n">
        <v>210</v>
      </c>
      <c r="J188" t="n">
        <v>73</v>
      </c>
      <c r="K188" t="n">
        <v>17</v>
      </c>
      <c r="L188" t="inlineStr">
        <is>
          <t>EURO NÁŘADÍ s.r.o.</t>
        </is>
      </c>
      <c r="M188" t="inlineStr">
        <is>
          <t>Drogerie/Technické/Euronářadí</t>
        </is>
      </c>
    </row>
    <row r="189">
      <c r="A189" t="inlineStr">
        <is>
          <t>jádro</t>
        </is>
      </c>
      <c r="B189" t="inlineStr">
        <is>
          <t>Ochranné pomůcky</t>
        </is>
      </c>
      <c r="C189" t="inlineStr">
        <is>
          <t xml:space="preserve">Rukavice pracovní PETRAX vel. 9 </t>
        </is>
      </c>
      <c r="D189" t="inlineStr">
        <is>
          <t>8592229374779</t>
        </is>
      </c>
      <c r="E189" t="n">
        <v>59</v>
      </c>
      <c r="F189" t="n">
        <v>2</v>
      </c>
      <c r="G189" t="n">
        <v>6</v>
      </c>
      <c r="H189" t="n">
        <v>4</v>
      </c>
      <c r="I189" t="n">
        <v>195</v>
      </c>
      <c r="J189" t="n">
        <v>56</v>
      </c>
      <c r="K189" t="n">
        <v>4</v>
      </c>
      <c r="L189" t="inlineStr">
        <is>
          <t>EURO NÁŘADÍ s.r.o.</t>
        </is>
      </c>
      <c r="M189" t="inlineStr">
        <is>
          <t>Drogerie/Technické/Euronářadí</t>
        </is>
      </c>
    </row>
    <row r="190">
      <c r="A190" t="inlineStr">
        <is>
          <t>jádro</t>
        </is>
      </c>
      <c r="B190" t="inlineStr">
        <is>
          <t>Ochranné pomůcky</t>
        </is>
      </c>
      <c r="C190" t="inlineStr">
        <is>
          <t>Rukavice ALLSTAR  vel. 8 M CRINKLE</t>
        </is>
      </c>
      <c r="D190" t="inlineStr">
        <is>
          <t>9002588426419</t>
        </is>
      </c>
      <c r="E190" t="n">
        <v>49</v>
      </c>
      <c r="F190" t="n">
        <v>3</v>
      </c>
      <c r="G190" t="n">
        <v>4</v>
      </c>
      <c r="H190" t="n">
        <v>3.5</v>
      </c>
      <c r="I190" t="n">
        <v>142</v>
      </c>
      <c r="J190" t="n">
        <v>69</v>
      </c>
      <c r="K190" t="n">
        <v>0</v>
      </c>
      <c r="L190" t="inlineStr">
        <is>
          <t>Schuller Eh'klar s.r.o.</t>
        </is>
      </c>
      <c r="M190" t="inlineStr">
        <is>
          <t>Drogerie/Technické/Schuller</t>
        </is>
      </c>
    </row>
    <row r="191">
      <c r="A191" t="inlineStr">
        <is>
          <t>jádro</t>
        </is>
      </c>
      <c r="B191" t="inlineStr">
        <is>
          <t>Ochranné pomůcky</t>
        </is>
      </c>
      <c r="C191" t="inlineStr">
        <is>
          <t>Zátky do uší</t>
        </is>
      </c>
      <c r="D191" t="inlineStr">
        <is>
          <t>8592229375059</t>
        </is>
      </c>
      <c r="E191" t="n">
        <v>10</v>
      </c>
      <c r="F191" t="n">
        <v>0</v>
      </c>
      <c r="G191" t="n">
        <v>6</v>
      </c>
      <c r="H191" t="n">
        <v>3</v>
      </c>
      <c r="I191" t="n">
        <v>25</v>
      </c>
      <c r="J191" t="n">
        <v>175</v>
      </c>
      <c r="K191" t="n">
        <v>0</v>
      </c>
      <c r="L191" t="inlineStr">
        <is>
          <t>EURO NÁŘADÍ s.r.o.</t>
        </is>
      </c>
      <c r="M191" t="inlineStr">
        <is>
          <t>Drogerie/Technické/Euronářadí</t>
        </is>
      </c>
    </row>
    <row r="192">
      <c r="A192" t="inlineStr">
        <is>
          <t>jádro</t>
        </is>
      </c>
      <c r="B192" t="inlineStr">
        <is>
          <t>Ochranné pomůcky</t>
        </is>
      </c>
      <c r="C192" t="inlineStr">
        <is>
          <t>Rukavice pracovní GREEN TOUCH, velikost 10</t>
        </is>
      </c>
      <c r="D192" t="inlineStr">
        <is>
          <t>8592390035554</t>
        </is>
      </c>
      <c r="E192" t="n">
        <v>55</v>
      </c>
      <c r="F192" t="n">
        <v>0</v>
      </c>
      <c r="G192" t="n">
        <v>6</v>
      </c>
      <c r="H192" t="n">
        <v>3</v>
      </c>
      <c r="I192" t="n">
        <v>134</v>
      </c>
      <c r="J192" t="n">
        <v>56</v>
      </c>
      <c r="K192" t="n">
        <v>10</v>
      </c>
      <c r="L192" t="inlineStr">
        <is>
          <t>EURO NÁŘADÍ s.r.o.</t>
        </is>
      </c>
      <c r="M192" t="inlineStr">
        <is>
          <t>Drogerie/Technické/Euronářadí</t>
        </is>
      </c>
    </row>
    <row r="193">
      <c r="A193" t="inlineStr">
        <is>
          <t>jádro</t>
        </is>
      </c>
      <c r="B193" t="inlineStr">
        <is>
          <t>Ochranné pomůcky</t>
        </is>
      </c>
      <c r="C193" t="inlineStr">
        <is>
          <t xml:space="preserve">Špunty do uší  4111 CLASSIC </t>
        </is>
      </c>
      <c r="D193" t="inlineStr">
        <is>
          <t>8592081004630</t>
        </is>
      </c>
      <c r="E193" t="n">
        <v>23</v>
      </c>
      <c r="F193" t="n">
        <v>6</v>
      </c>
      <c r="G193" t="n">
        <v>0</v>
      </c>
      <c r="H193" t="n">
        <v>3</v>
      </c>
      <c r="I193" t="n">
        <v>57</v>
      </c>
      <c r="J193" t="n">
        <v>211</v>
      </c>
      <c r="K193" t="n">
        <v>1</v>
      </c>
      <c r="L193" t="inlineStr">
        <is>
          <t>M.A.T. Group, s.r.o.</t>
        </is>
      </c>
      <c r="M193" t="inlineStr">
        <is>
          <t>Drogerie/Drogerie/MAT</t>
        </is>
      </c>
    </row>
    <row r="194">
      <c r="A194" t="inlineStr">
        <is>
          <t>jádro</t>
        </is>
      </c>
      <c r="B194" t="inlineStr">
        <is>
          <t>Podpalovače, topení, zapalování</t>
        </is>
      </c>
      <c r="C194" t="inlineStr">
        <is>
          <t>Pepo pevný podpalovač 40 ks</t>
        </is>
      </c>
      <c r="D194" t="inlineStr">
        <is>
          <t>8595009210694</t>
        </is>
      </c>
      <c r="E194" t="n">
        <v>35</v>
      </c>
      <c r="F194" t="n">
        <v>23</v>
      </c>
      <c r="G194" t="n">
        <v>35</v>
      </c>
      <c r="H194" t="n">
        <v>29</v>
      </c>
      <c r="I194" t="n">
        <v>832</v>
      </c>
      <c r="J194" t="n">
        <v>46</v>
      </c>
      <c r="K194" t="n">
        <v>38</v>
      </c>
      <c r="L194" t="inlineStr">
        <is>
          <t>BARVY A LAKY HOSTIVAŘ, a.s.</t>
        </is>
      </c>
      <c r="M194" t="inlineStr">
        <is>
          <t>Drogerie/Technické/BAL</t>
        </is>
      </c>
    </row>
    <row r="195">
      <c r="A195" t="inlineStr">
        <is>
          <t>jádro</t>
        </is>
      </c>
      <c r="B195" t="inlineStr">
        <is>
          <t>Podpalovače, topení, zapalování</t>
        </is>
      </c>
      <c r="C195" t="inlineStr">
        <is>
          <t>Turbo zapalovače</t>
        </is>
      </c>
      <c r="D195" t="inlineStr">
        <is>
          <t>8594029216204</t>
        </is>
      </c>
      <c r="E195" t="n">
        <v>15</v>
      </c>
      <c r="F195" t="n">
        <v>2</v>
      </c>
      <c r="G195" t="n">
        <v>5</v>
      </c>
      <c r="H195" t="n">
        <v>3.5</v>
      </c>
      <c r="I195" t="n">
        <v>43</v>
      </c>
      <c r="J195" t="n">
        <v>57</v>
      </c>
      <c r="K195" t="n">
        <v>24</v>
      </c>
      <c r="L195" t="inlineStr">
        <is>
          <t>JAROMÍR HUTLA - BATTERY CENTER s. r. o.</t>
        </is>
      </c>
      <c r="M195" t="inlineStr">
        <is>
          <t>Drogerie/Elektro/Hutla</t>
        </is>
      </c>
    </row>
    <row r="196">
      <c r="A196" t="inlineStr">
        <is>
          <t>jádro</t>
        </is>
      </c>
      <c r="B196" t="inlineStr">
        <is>
          <t>Podpalovače, topení, zapalování</t>
        </is>
      </c>
      <c r="C196" t="inlineStr">
        <is>
          <t>Pepo dřevitá vlna 32ks</t>
        </is>
      </c>
      <c r="D196" t="inlineStr">
        <is>
          <t>8595009289164</t>
        </is>
      </c>
      <c r="E196" t="n">
        <v>90</v>
      </c>
      <c r="F196" t="n">
        <v>2</v>
      </c>
      <c r="G196" t="n">
        <v>4</v>
      </c>
      <c r="H196" t="n">
        <v>3</v>
      </c>
      <c r="I196" t="n">
        <v>223</v>
      </c>
      <c r="J196" t="n">
        <v>44</v>
      </c>
      <c r="K196" t="n">
        <v>5</v>
      </c>
      <c r="L196" t="inlineStr">
        <is>
          <t>Solvent ČR s.r.o.</t>
        </is>
      </c>
      <c r="M196" t="inlineStr">
        <is>
          <t>Drogerie/Drogerie/PKS</t>
        </is>
      </c>
    </row>
    <row r="197">
      <c r="A197" t="inlineStr">
        <is>
          <t>jádro</t>
        </is>
      </c>
      <c r="B197" t="inlineStr">
        <is>
          <t>Semena, hnojiva, ochrana rostlin</t>
        </is>
      </c>
      <c r="C197" t="inlineStr">
        <is>
          <t>Semena 2*</t>
        </is>
      </c>
      <c r="D197" t="inlineStr">
        <is>
          <t>1000000008272</t>
        </is>
      </c>
      <c r="E197" t="n">
        <v>23</v>
      </c>
      <c r="F197" t="n">
        <v>86</v>
      </c>
      <c r="G197" t="n">
        <v>88</v>
      </c>
      <c r="H197" t="n">
        <v>87</v>
      </c>
      <c r="I197" t="n">
        <v>1946</v>
      </c>
      <c r="J197" t="n">
        <v>42</v>
      </c>
      <c r="K197" t="n">
        <v>0</v>
      </c>
      <c r="L197" t="inlineStr">
        <is>
          <t>JHPAP s.r.o.</t>
        </is>
      </c>
      <c r="M197" t="inlineStr">
        <is>
          <t>Drogerie/Drogerie/JHPAP</t>
        </is>
      </c>
    </row>
    <row r="198">
      <c r="A198" t="inlineStr">
        <is>
          <t>jádro</t>
        </is>
      </c>
      <c r="B198" t="inlineStr">
        <is>
          <t>Semena, hnojiva, ochrana rostlin</t>
        </is>
      </c>
      <c r="C198" t="inlineStr">
        <is>
          <t>Semena 4*</t>
        </is>
      </c>
      <c r="D198" t="inlineStr">
        <is>
          <t>1000000008296</t>
        </is>
      </c>
      <c r="E198" t="n">
        <v>42</v>
      </c>
      <c r="F198" t="n">
        <v>41</v>
      </c>
      <c r="G198" t="n">
        <v>48</v>
      </c>
      <c r="H198" t="n">
        <v>44.5</v>
      </c>
      <c r="I198" t="n">
        <v>1669</v>
      </c>
      <c r="J198" t="n">
        <v>44</v>
      </c>
      <c r="K198" t="n">
        <v>0</v>
      </c>
      <c r="L198" t="inlineStr">
        <is>
          <t>JHPAP s.r.o.</t>
        </is>
      </c>
      <c r="M198" t="inlineStr">
        <is>
          <t>Drogerie/Drogerie/JHPAP</t>
        </is>
      </c>
    </row>
    <row r="199">
      <c r="A199" t="inlineStr">
        <is>
          <t>jádro</t>
        </is>
      </c>
      <c r="B199" t="inlineStr">
        <is>
          <t>Semena, hnojiva, ochrana rostlin</t>
        </is>
      </c>
      <c r="C199" t="inlineStr">
        <is>
          <t>Semena 1*</t>
        </is>
      </c>
      <c r="D199" t="inlineStr">
        <is>
          <t>1000000008265</t>
        </is>
      </c>
      <c r="E199" t="n">
        <v>19</v>
      </c>
      <c r="F199" t="n">
        <v>26</v>
      </c>
      <c r="G199" t="n">
        <v>19</v>
      </c>
      <c r="H199" t="n">
        <v>22.5</v>
      </c>
      <c r="I199" t="n">
        <v>366</v>
      </c>
      <c r="J199" t="n">
        <v>107</v>
      </c>
      <c r="K199" t="n">
        <v>8</v>
      </c>
      <c r="L199" t="inlineStr">
        <is>
          <t>BIOM s.r.o.</t>
        </is>
      </c>
      <c r="M199" t="inlineStr">
        <is>
          <t>Drogerie/Drogerie/Biom</t>
        </is>
      </c>
    </row>
    <row r="200">
      <c r="A200" t="inlineStr">
        <is>
          <t>jádro</t>
        </is>
      </c>
      <c r="B200" t="inlineStr">
        <is>
          <t>Semena, hnojiva, ochrana rostlin</t>
        </is>
      </c>
      <c r="C200" t="inlineStr">
        <is>
          <t>Skalice zelená 1000 gr  Forestina</t>
        </is>
      </c>
      <c r="D200" t="inlineStr">
        <is>
          <t>8595030510220</t>
        </is>
      </c>
      <c r="E200" t="n">
        <v>69</v>
      </c>
      <c r="F200" t="n">
        <v>2</v>
      </c>
      <c r="G200" t="n">
        <v>11</v>
      </c>
      <c r="H200" t="n">
        <v>6.5</v>
      </c>
      <c r="I200" t="n">
        <v>362</v>
      </c>
      <c r="J200" t="n">
        <v>53</v>
      </c>
      <c r="K200" t="n">
        <v>6</v>
      </c>
      <c r="L200" t="inlineStr">
        <is>
          <t>Solvent ČR s.r.o.</t>
        </is>
      </c>
      <c r="M200" t="inlineStr">
        <is>
          <t>Drogerie/Drogerie/PKS</t>
        </is>
      </c>
    </row>
    <row r="201">
      <c r="A201" t="inlineStr">
        <is>
          <t>jádro</t>
        </is>
      </c>
      <c r="B201" t="inlineStr">
        <is>
          <t>Semena, hnojiva, ochrana rostlin</t>
        </is>
      </c>
      <c r="C201" t="inlineStr">
        <is>
          <t>Bioseptik 100g</t>
        </is>
      </c>
      <c r="D201" t="inlineStr">
        <is>
          <t>8594163210014</t>
        </is>
      </c>
      <c r="E201" t="n">
        <v>85</v>
      </c>
      <c r="F201" t="n">
        <v>6</v>
      </c>
      <c r="G201" t="n">
        <v>5</v>
      </c>
      <c r="H201" t="n">
        <v>5.5</v>
      </c>
      <c r="I201" t="n">
        <v>384</v>
      </c>
      <c r="J201" t="n">
        <v>47</v>
      </c>
      <c r="K201" t="n">
        <v>4</v>
      </c>
      <c r="L201" t="inlineStr">
        <is>
          <t>Radek Sojka</t>
        </is>
      </c>
      <c r="M201" t="inlineStr">
        <is>
          <t>Drogerie/Drogerie/Sojka</t>
        </is>
      </c>
    </row>
    <row r="202">
      <c r="A202" t="inlineStr">
        <is>
          <t>jádro</t>
        </is>
      </c>
      <c r="B202" t="inlineStr">
        <is>
          <t>Svíčky a hřbitovní zboží</t>
        </is>
      </c>
      <c r="C202" t="inlineStr">
        <is>
          <t>Hřbitovní patrona malá 120g bílá 2DNY</t>
        </is>
      </c>
      <c r="D202" t="inlineStr">
        <is>
          <t>8595052996392</t>
        </is>
      </c>
      <c r="E202" t="n">
        <v>25</v>
      </c>
      <c r="F202" t="n">
        <v>6</v>
      </c>
      <c r="G202" t="n">
        <v>15</v>
      </c>
      <c r="H202" t="n">
        <v>10.5</v>
      </c>
      <c r="I202" t="n">
        <v>201</v>
      </c>
      <c r="J202" t="n">
        <v>88</v>
      </c>
      <c r="K202" t="n">
        <v>22</v>
      </c>
      <c r="L202" t="inlineStr">
        <is>
          <t>Z - TRADE s. r. o.</t>
        </is>
      </c>
      <c r="M202" t="inlineStr">
        <is>
          <t>Drogerie/Drogerie/Z-trade</t>
        </is>
      </c>
    </row>
    <row r="203">
      <c r="A203" t="inlineStr">
        <is>
          <t>jádro</t>
        </is>
      </c>
      <c r="B203" t="inlineStr">
        <is>
          <t>Svíčky a hřbitovní zboží</t>
        </is>
      </c>
      <c r="C203" t="inlineStr">
        <is>
          <t>Hřbitovní náplň patrona střední 180 g 2,5DNE</t>
        </is>
      </c>
      <c r="D203" t="inlineStr">
        <is>
          <t>8595052962991</t>
        </is>
      </c>
      <c r="E203" t="n">
        <v>32</v>
      </c>
      <c r="F203" t="n">
        <v>12</v>
      </c>
      <c r="G203" t="n">
        <v>4</v>
      </c>
      <c r="H203" t="n">
        <v>8</v>
      </c>
      <c r="I203" t="n">
        <v>206</v>
      </c>
      <c r="J203" t="n">
        <v>69</v>
      </c>
      <c r="K203" t="n">
        <v>5</v>
      </c>
      <c r="L203" t="inlineStr">
        <is>
          <t>Z - TRADE s. r. o.</t>
        </is>
      </c>
      <c r="M203" t="inlineStr">
        <is>
          <t>Drogerie/Drogerie/Z-trade</t>
        </is>
      </c>
    </row>
    <row r="204">
      <c r="A204" t="inlineStr">
        <is>
          <t>jádro</t>
        </is>
      </c>
      <c r="B204" t="inlineStr">
        <is>
          <t>Svíčky a hřbitovní zboží</t>
        </is>
      </c>
      <c r="C204" t="inlineStr">
        <is>
          <t>Svíčka theresia 58 hod. červená</t>
        </is>
      </c>
      <c r="D204" t="inlineStr">
        <is>
          <t>8592001003774</t>
        </is>
      </c>
      <c r="E204" t="n">
        <v>26</v>
      </c>
      <c r="F204" t="n">
        <v>6</v>
      </c>
      <c r="G204" t="n">
        <v>1</v>
      </c>
      <c r="H204" t="n">
        <v>3.5</v>
      </c>
      <c r="I204" t="n">
        <v>75</v>
      </c>
      <c r="J204" t="n">
        <v>51</v>
      </c>
      <c r="K204" t="n">
        <v>27</v>
      </c>
      <c r="L204" t="inlineStr">
        <is>
          <t>Z - TRADE s. r. o.</t>
        </is>
      </c>
      <c r="M204" t="inlineStr">
        <is>
          <t>Drogerie/Drogerie/Z-trade</t>
        </is>
      </c>
    </row>
    <row r="205">
      <c r="A205" t="inlineStr">
        <is>
          <t>jádro</t>
        </is>
      </c>
      <c r="B205" t="inlineStr">
        <is>
          <t>Svíčky a hřbitovní zboží</t>
        </is>
      </c>
      <c r="C205" t="inlineStr">
        <is>
          <t>Madona svíčka 2dny s víčkem</t>
        </is>
      </c>
      <c r="D205" t="inlineStr">
        <is>
          <t>8592001232037</t>
        </is>
      </c>
      <c r="E205" t="n">
        <v>27</v>
      </c>
      <c r="F205" t="n">
        <v>0</v>
      </c>
      <c r="G205" t="n">
        <v>6</v>
      </c>
      <c r="H205" t="n">
        <v>3</v>
      </c>
      <c r="I205" t="n">
        <v>67</v>
      </c>
      <c r="J205" t="n">
        <v>49</v>
      </c>
      <c r="K205" t="n">
        <v>9</v>
      </c>
      <c r="L205" t="inlineStr">
        <is>
          <t>Z - TRADE s. r. o.</t>
        </is>
      </c>
      <c r="M205" t="inlineStr">
        <is>
          <t>Drogerie/Drogerie/Z-trade</t>
        </is>
      </c>
    </row>
    <row r="206">
      <c r="A206" t="inlineStr">
        <is>
          <t>jádro</t>
        </is>
      </c>
      <c r="B206" t="inlineStr">
        <is>
          <t>Svíčky a hřbitovní zboží</t>
        </is>
      </c>
      <c r="C206" t="inlineStr">
        <is>
          <t>Svíčka theresia 4,5dne</t>
        </is>
      </c>
      <c r="D206" t="inlineStr">
        <is>
          <t>8592001003828</t>
        </is>
      </c>
      <c r="E206" t="n">
        <v>47</v>
      </c>
      <c r="F206" t="n">
        <v>6</v>
      </c>
      <c r="G206" t="n">
        <v>0</v>
      </c>
      <c r="H206" t="n">
        <v>3</v>
      </c>
      <c r="I206" t="n">
        <v>117</v>
      </c>
      <c r="J206" t="n">
        <v>39</v>
      </c>
      <c r="K206" t="n">
        <v>0</v>
      </c>
      <c r="L206" t="inlineStr">
        <is>
          <t>Z - TRADE s. r. o.</t>
        </is>
      </c>
      <c r="M206" t="inlineStr">
        <is>
          <t>Drogerie/Drogerie/Z-trade</t>
        </is>
      </c>
    </row>
    <row r="207">
      <c r="A207" t="inlineStr">
        <is>
          <t>jádro</t>
        </is>
      </c>
      <c r="B207" t="inlineStr">
        <is>
          <t>Vodoinstalace a hadice</t>
        </is>
      </c>
      <c r="C207" t="inlineStr">
        <is>
          <t>Objímka trubková 2- šroub 31- 38 mm</t>
        </is>
      </c>
      <c r="D207" t="inlineStr">
        <is>
          <t>1000000010794</t>
        </is>
      </c>
      <c r="E207" t="n">
        <v>16</v>
      </c>
      <c r="F207" t="n">
        <v>50</v>
      </c>
      <c r="G207" t="n">
        <v>0</v>
      </c>
      <c r="H207" t="n">
        <v>25</v>
      </c>
      <c r="I207" t="n">
        <v>331</v>
      </c>
      <c r="J207" t="n">
        <v>90</v>
      </c>
      <c r="K207" t="n">
        <v>18</v>
      </c>
      <c r="L207" t="inlineStr">
        <is>
          <t>V A K S T A V spol. s r. o. Jablonné n. Orlicí</t>
        </is>
      </c>
      <c r="M207" t="inlineStr">
        <is>
          <t>Drogerie/Technické/Vakstav</t>
        </is>
      </c>
    </row>
    <row r="208">
      <c r="A208" t="inlineStr">
        <is>
          <t>jádro</t>
        </is>
      </c>
      <c r="B208" t="inlineStr">
        <is>
          <t>Vodoinstalace a hadice</t>
        </is>
      </c>
      <c r="C208" t="inlineStr">
        <is>
          <t>Objímka stahovací 20 - 32</t>
        </is>
      </c>
      <c r="D208" t="inlineStr">
        <is>
          <t>1003000009065</t>
        </is>
      </c>
      <c r="E208" t="n">
        <v>10</v>
      </c>
      <c r="F208" t="n">
        <v>4</v>
      </c>
      <c r="G208" t="n">
        <v>33</v>
      </c>
      <c r="H208" t="n">
        <v>18.5</v>
      </c>
      <c r="I208" t="n">
        <v>150</v>
      </c>
      <c r="J208" t="n">
        <v>241</v>
      </c>
      <c r="K208" t="n">
        <v>7</v>
      </c>
      <c r="L208" t="inlineStr">
        <is>
          <t>V A K S T A V spol. s r. o. Jablonné n. Orlicí</t>
        </is>
      </c>
      <c r="M208" t="inlineStr">
        <is>
          <t>Drogerie/Voda/Objímky</t>
        </is>
      </c>
    </row>
    <row r="209">
      <c r="A209" t="inlineStr">
        <is>
          <t>jádro</t>
        </is>
      </c>
      <c r="B209" t="inlineStr">
        <is>
          <t>Vodoinstalace a hadice</t>
        </is>
      </c>
      <c r="C209" t="inlineStr">
        <is>
          <t>EP PPR KOLENO 90o 20MM</t>
        </is>
      </c>
      <c r="D209" t="inlineStr">
        <is>
          <t>2000000000541</t>
        </is>
      </c>
      <c r="E209" t="n">
        <v>8</v>
      </c>
      <c r="F209" t="n">
        <v>26</v>
      </c>
      <c r="G209" t="n">
        <v>3</v>
      </c>
      <c r="H209" t="n">
        <v>14.5</v>
      </c>
      <c r="I209" t="n">
        <v>93</v>
      </c>
      <c r="J209" t="n">
        <v>88</v>
      </c>
      <c r="K209" t="n">
        <v>20</v>
      </c>
      <c r="L209" t="inlineStr">
        <is>
          <t>TRIKER, a.s.</t>
        </is>
      </c>
      <c r="M209" t="inlineStr">
        <is>
          <t>Drogerie/Voda/Triker</t>
        </is>
      </c>
    </row>
    <row r="210">
      <c r="A210" t="inlineStr">
        <is>
          <t>jádro</t>
        </is>
      </c>
      <c r="B210" t="inlineStr">
        <is>
          <t>Vodoinstalace a hadice</t>
        </is>
      </c>
      <c r="C210" t="inlineStr">
        <is>
          <t>Objímka stahovací 12 - 20</t>
        </is>
      </c>
      <c r="D210" t="inlineStr">
        <is>
          <t>1000000009033</t>
        </is>
      </c>
      <c r="E210" t="n">
        <v>8</v>
      </c>
      <c r="F210" t="n">
        <v>12</v>
      </c>
      <c r="G210" t="n">
        <v>15</v>
      </c>
      <c r="H210" t="n">
        <v>13.5</v>
      </c>
      <c r="I210" t="n">
        <v>89</v>
      </c>
      <c r="J210" t="n">
        <v>200</v>
      </c>
      <c r="K210" t="n">
        <v>11</v>
      </c>
      <c r="L210" t="inlineStr">
        <is>
          <t>V A K S T A V spol. s r. o. Jablonné n. Orlicí</t>
        </is>
      </c>
      <c r="M210" t="inlineStr">
        <is>
          <t>Drogerie/Voda/Objímky</t>
        </is>
      </c>
    </row>
    <row r="211">
      <c r="A211" t="inlineStr">
        <is>
          <t>jádro</t>
        </is>
      </c>
      <c r="B211" t="inlineStr">
        <is>
          <t>Vodoinstalace a hadice</t>
        </is>
      </c>
      <c r="C211" t="inlineStr">
        <is>
          <t>Objímka trubková 2- šroub 54 - 59mm, 53-57</t>
        </is>
      </c>
      <c r="D211" t="inlineStr">
        <is>
          <t>1000000010763</t>
        </is>
      </c>
      <c r="E211" t="n">
        <v>22</v>
      </c>
      <c r="F211" t="n">
        <v>25</v>
      </c>
      <c r="G211" t="n">
        <v>2</v>
      </c>
      <c r="H211" t="n">
        <v>13.5</v>
      </c>
      <c r="I211" t="n">
        <v>245</v>
      </c>
      <c r="J211" t="n">
        <v>52</v>
      </c>
      <c r="K211" t="n">
        <v>68</v>
      </c>
      <c r="L211" t="inlineStr">
        <is>
          <t>V A K S T A V spol. s r. o. Jablonné n. Orlicí</t>
        </is>
      </c>
      <c r="M211" t="inlineStr">
        <is>
          <t>Drogerie/Technické/Vakstav</t>
        </is>
      </c>
    </row>
    <row r="212">
      <c r="A212" t="inlineStr">
        <is>
          <t>jádro</t>
        </is>
      </c>
      <c r="B212" t="inlineStr">
        <is>
          <t>Vodoinstalace a hadice</t>
        </is>
      </c>
      <c r="C212" t="inlineStr">
        <is>
          <t>Objímka stahovací 8 -12</t>
        </is>
      </c>
      <c r="D212" t="inlineStr">
        <is>
          <t>2000000000503</t>
        </is>
      </c>
      <c r="E212" t="n">
        <v>8</v>
      </c>
      <c r="F212" t="n">
        <v>15</v>
      </c>
      <c r="G212" t="n">
        <v>11</v>
      </c>
      <c r="H212" t="n">
        <v>13</v>
      </c>
      <c r="I212" t="n">
        <v>84</v>
      </c>
      <c r="J212" t="n">
        <v>191</v>
      </c>
      <c r="K212" t="n">
        <v>69</v>
      </c>
      <c r="L212" t="inlineStr">
        <is>
          <t>V A K S T A V spol. s r. o. Jablonné n. Orlicí</t>
        </is>
      </c>
      <c r="M212" t="inlineStr">
        <is>
          <t>Drogerie/Voda/Objímky</t>
        </is>
      </c>
    </row>
    <row r="213">
      <c r="A213" t="inlineStr">
        <is>
          <t>jádro</t>
        </is>
      </c>
      <c r="B213" t="inlineStr">
        <is>
          <t>Vodoinstalace a hadice</t>
        </is>
      </c>
      <c r="C213" t="inlineStr">
        <is>
          <t>Objímka stahovací 16 - 25</t>
        </is>
      </c>
      <c r="D213" t="inlineStr">
        <is>
          <t>1000000009040</t>
        </is>
      </c>
      <c r="E213" t="n">
        <v>9</v>
      </c>
      <c r="F213" t="n">
        <v>8</v>
      </c>
      <c r="G213" t="n">
        <v>17</v>
      </c>
      <c r="H213" t="n">
        <v>12.5</v>
      </c>
      <c r="I213" t="n">
        <v>91</v>
      </c>
      <c r="J213" t="n">
        <v>237</v>
      </c>
      <c r="K213" t="n">
        <v>32</v>
      </c>
      <c r="L213" t="inlineStr">
        <is>
          <t>V A K S T A V spol. s r. o. Jablonné n. Orlicí</t>
        </is>
      </c>
      <c r="M213" t="inlineStr">
        <is>
          <t>Drogerie/Voda/Objímky</t>
        </is>
      </c>
    </row>
    <row r="214">
      <c r="A214" t="inlineStr">
        <is>
          <t>jádro</t>
        </is>
      </c>
      <c r="B214" t="inlineStr">
        <is>
          <t>Vodoinstalace a hadice</t>
        </is>
      </c>
      <c r="C214" t="inlineStr">
        <is>
          <t>PŘÍCHYTKA NA POTRUBÍ 25MM</t>
        </is>
      </c>
      <c r="D214" t="inlineStr">
        <is>
          <t>9783598215599</t>
        </is>
      </c>
      <c r="E214" t="n">
        <v>8</v>
      </c>
      <c r="F214" t="n">
        <v>5</v>
      </c>
      <c r="G214" t="n">
        <v>16</v>
      </c>
      <c r="H214" t="n">
        <v>10.5</v>
      </c>
      <c r="I214" t="n">
        <v>69</v>
      </c>
      <c r="J214" t="n">
        <v>97</v>
      </c>
      <c r="K214" t="n">
        <v>21</v>
      </c>
      <c r="L214" t="inlineStr">
        <is>
          <t>TRIKER, a.s.</t>
        </is>
      </c>
      <c r="M214" t="inlineStr">
        <is>
          <t>Drogerie/Voda/Triker</t>
        </is>
      </c>
    </row>
    <row r="215">
      <c r="A215" t="inlineStr">
        <is>
          <t>jádro</t>
        </is>
      </c>
      <c r="B215" t="inlineStr">
        <is>
          <t>Vodoinstalace a hadice</t>
        </is>
      </c>
      <c r="C215" t="inlineStr">
        <is>
          <t>Objímka stahovací 32 - 50</t>
        </is>
      </c>
      <c r="D215" t="inlineStr">
        <is>
          <t>1000000009064</t>
        </is>
      </c>
      <c r="E215" t="n">
        <v>10</v>
      </c>
      <c r="F215" t="n">
        <v>10</v>
      </c>
      <c r="G215" t="n">
        <v>10</v>
      </c>
      <c r="H215" t="n">
        <v>10</v>
      </c>
      <c r="I215" t="n">
        <v>83</v>
      </c>
      <c r="J215" t="n">
        <v>199</v>
      </c>
      <c r="K215" t="n">
        <v>44</v>
      </c>
      <c r="L215" t="inlineStr">
        <is>
          <t>V A K S T A V spol. s r. o. Jablonné n. Orlicí</t>
        </is>
      </c>
      <c r="M215" t="inlineStr">
        <is>
          <t>Drogerie/Voda/Objímky</t>
        </is>
      </c>
    </row>
    <row r="216">
      <c r="A216" t="inlineStr">
        <is>
          <t>jádro</t>
        </is>
      </c>
      <c r="B216" t="inlineStr">
        <is>
          <t>Vodoinstalace a hadice</t>
        </is>
      </c>
      <c r="C216" t="inlineStr">
        <is>
          <t>Objímka stahovací 25 - 40</t>
        </is>
      </c>
      <c r="D216" t="inlineStr">
        <is>
          <t>1000000009057</t>
        </is>
      </c>
      <c r="E216" t="n">
        <v>10</v>
      </c>
      <c r="F216" t="n">
        <v>1</v>
      </c>
      <c r="G216" t="n">
        <v>18</v>
      </c>
      <c r="H216" t="n">
        <v>9.5</v>
      </c>
      <c r="I216" t="n">
        <v>76</v>
      </c>
      <c r="J216" t="n">
        <v>294</v>
      </c>
      <c r="K216" t="n">
        <v>28</v>
      </c>
      <c r="L216" t="inlineStr">
        <is>
          <t>V A K S T A V spol. s r. o. Jablonné n. Orlicí</t>
        </is>
      </c>
      <c r="M216" t="inlineStr">
        <is>
          <t>Drogerie/Voda/Objímky</t>
        </is>
      </c>
    </row>
    <row r="217">
      <c r="A217" t="inlineStr">
        <is>
          <t>jádro</t>
        </is>
      </c>
      <c r="B217" t="inlineStr">
        <is>
          <t>Vodoinstalace a hadice</t>
        </is>
      </c>
      <c r="C217" t="inlineStr">
        <is>
          <t>EP MS VSUVKA 3/4"</t>
        </is>
      </c>
      <c r="D217" t="inlineStr">
        <is>
          <t>2000000002163</t>
        </is>
      </c>
      <c r="E217" t="n">
        <v>48</v>
      </c>
      <c r="F217" t="n">
        <v>4</v>
      </c>
      <c r="G217" t="n">
        <v>13</v>
      </c>
      <c r="H217" t="n">
        <v>8.5</v>
      </c>
      <c r="I217" t="n">
        <v>305</v>
      </c>
      <c r="J217" t="n">
        <v>61</v>
      </c>
      <c r="K217" t="n">
        <v>11</v>
      </c>
      <c r="L217" t="inlineStr">
        <is>
          <t>TRIKER, a.s.</t>
        </is>
      </c>
      <c r="M217" t="inlineStr">
        <is>
          <t>Drogerie/Voda/Triker</t>
        </is>
      </c>
    </row>
    <row r="218">
      <c r="A218" t="inlineStr">
        <is>
          <t>jádro</t>
        </is>
      </c>
      <c r="B218" t="inlineStr">
        <is>
          <t>Vodoinstalace a hadice</t>
        </is>
      </c>
      <c r="C218" t="inlineStr">
        <is>
          <t>TUBEX STANDARD IZOLACE 20X10MM</t>
        </is>
      </c>
      <c r="D218" t="inlineStr">
        <is>
          <t>2000000000671</t>
        </is>
      </c>
      <c r="E218" t="n">
        <v>12</v>
      </c>
      <c r="F218" t="n">
        <v>8</v>
      </c>
      <c r="G218" t="n">
        <v>8</v>
      </c>
      <c r="H218" t="n">
        <v>8</v>
      </c>
      <c r="I218" t="n">
        <v>73</v>
      </c>
      <c r="J218" t="n">
        <v>48</v>
      </c>
      <c r="K218" t="n">
        <v>24</v>
      </c>
      <c r="L218" t="inlineStr">
        <is>
          <t>TRIKER, a.s.</t>
        </is>
      </c>
      <c r="M218" t="inlineStr">
        <is>
          <t>Drogerie/Voda/Triker</t>
        </is>
      </c>
    </row>
    <row r="219">
      <c r="A219" t="inlineStr">
        <is>
          <t>jádro</t>
        </is>
      </c>
      <c r="B219" t="inlineStr">
        <is>
          <t>Vodoinstalace a hadice</t>
        </is>
      </c>
      <c r="C219" t="inlineStr">
        <is>
          <t>TUBEX STANDARD IZOLACE 20X6MM</t>
        </is>
      </c>
      <c r="D219" t="inlineStr">
        <is>
          <t>2000000000747</t>
        </is>
      </c>
      <c r="E219" t="n">
        <v>9</v>
      </c>
      <c r="F219" t="n">
        <v>0</v>
      </c>
      <c r="G219" t="n">
        <v>12</v>
      </c>
      <c r="H219" t="n">
        <v>6</v>
      </c>
      <c r="I219" t="n">
        <v>45</v>
      </c>
      <c r="J219" t="n">
        <v>126</v>
      </c>
      <c r="K219" t="n">
        <v>14</v>
      </c>
      <c r="L219" t="inlineStr">
        <is>
          <t>TRIKER, a.s.</t>
        </is>
      </c>
      <c r="M219" t="inlineStr">
        <is>
          <t>Drogerie/Voda/Triker</t>
        </is>
      </c>
    </row>
    <row r="220">
      <c r="A220" t="inlineStr">
        <is>
          <t>jádro</t>
        </is>
      </c>
      <c r="B220" t="inlineStr">
        <is>
          <t>Vodoinstalace a hadice</t>
        </is>
      </c>
      <c r="C220" t="inlineStr">
        <is>
          <t xml:space="preserve"> PŘÍCHYTKA NA POTRUBÍ 20MM_x000D_</t>
        </is>
      </c>
      <c r="D220" t="inlineStr">
        <is>
          <t>9783598215582</t>
        </is>
      </c>
      <c r="E220" t="n">
        <v>8</v>
      </c>
      <c r="F220" t="n">
        <v>12</v>
      </c>
      <c r="G220" t="n">
        <v>0</v>
      </c>
      <c r="H220" t="n">
        <v>6</v>
      </c>
      <c r="I220" t="n">
        <v>37</v>
      </c>
      <c r="J220" t="n">
        <v>107</v>
      </c>
      <c r="K220" t="n">
        <v>48</v>
      </c>
      <c r="L220" t="inlineStr">
        <is>
          <t>TRIKER, a.s.</t>
        </is>
      </c>
      <c r="M220" t="inlineStr">
        <is>
          <t>Drogerie/Voda/Triker</t>
        </is>
      </c>
    </row>
    <row r="221">
      <c r="A221" t="inlineStr">
        <is>
          <t>jádro</t>
        </is>
      </c>
      <c r="B221" t="inlineStr">
        <is>
          <t>Vodoinstalace a hadice</t>
        </is>
      </c>
      <c r="C221" t="inlineStr">
        <is>
          <t>PP-RCT TRUBKA EVO 25X2,8X4000MM S 4 cena za    !!1M!!!</t>
        </is>
      </c>
      <c r="D221" t="inlineStr">
        <is>
          <t>8595185401398</t>
        </is>
      </c>
      <c r="E221" t="n">
        <v>60</v>
      </c>
      <c r="F221" t="n">
        <v>8</v>
      </c>
      <c r="G221" t="n">
        <v>4</v>
      </c>
      <c r="H221" t="n">
        <v>6</v>
      </c>
      <c r="I221" t="n">
        <v>298</v>
      </c>
      <c r="J221" t="n">
        <v>47</v>
      </c>
      <c r="K221" t="n">
        <v>28</v>
      </c>
      <c r="L221" t="inlineStr">
        <is>
          <t>TRIKER, a.s.</t>
        </is>
      </c>
      <c r="M221" t="inlineStr">
        <is>
          <t>Drogerie/Voda/Triker</t>
        </is>
      </c>
    </row>
    <row r="222">
      <c r="A222" t="inlineStr">
        <is>
          <t>jádro</t>
        </is>
      </c>
      <c r="B222" t="inlineStr">
        <is>
          <t>Vodoinstalace a hadice</t>
        </is>
      </c>
      <c r="C222" t="inlineStr">
        <is>
          <t>EP KGEM KANALIZAČNÍ TRUBKA 110/ 500MM</t>
        </is>
      </c>
      <c r="D222" t="inlineStr">
        <is>
          <t>8600198007359</t>
        </is>
      </c>
      <c r="E222" t="n">
        <v>108</v>
      </c>
      <c r="F222" t="n">
        <v>5</v>
      </c>
      <c r="G222" t="n">
        <v>6</v>
      </c>
      <c r="H222" t="n">
        <v>5.5</v>
      </c>
      <c r="I222" t="n">
        <v>473</v>
      </c>
      <c r="J222" t="n">
        <v>90</v>
      </c>
      <c r="K222" t="n">
        <v>14</v>
      </c>
      <c r="L222" t="inlineStr">
        <is>
          <t>TRIKER, a.s.</t>
        </is>
      </c>
      <c r="M222" t="inlineStr">
        <is>
          <t>Drogerie/Voda/Triker</t>
        </is>
      </c>
    </row>
    <row r="223">
      <c r="A223" t="inlineStr">
        <is>
          <t>jádro</t>
        </is>
      </c>
      <c r="B223" t="inlineStr">
        <is>
          <t>Vodoinstalace a hadice</t>
        </is>
      </c>
      <c r="C223" t="inlineStr">
        <is>
          <t>Objímka stahovací 10-16</t>
        </is>
      </c>
      <c r="D223" t="inlineStr">
        <is>
          <t>1000000009026</t>
        </is>
      </c>
      <c r="E223" t="n">
        <v>8</v>
      </c>
      <c r="F223" t="n">
        <v>6</v>
      </c>
      <c r="G223" t="n">
        <v>5</v>
      </c>
      <c r="H223" t="n">
        <v>5.5</v>
      </c>
      <c r="I223" t="n">
        <v>36</v>
      </c>
      <c r="J223" t="n">
        <v>224</v>
      </c>
      <c r="K223" t="n">
        <v>37</v>
      </c>
      <c r="L223" t="inlineStr">
        <is>
          <t>V A K S T A V spol. s r. o. Jablonné n. Orlicí</t>
        </is>
      </c>
      <c r="M223" t="inlineStr">
        <is>
          <t>Drogerie/Voda/Objímky</t>
        </is>
      </c>
    </row>
    <row r="224">
      <c r="A224" t="inlineStr">
        <is>
          <t>jádro</t>
        </is>
      </c>
      <c r="B224" t="inlineStr">
        <is>
          <t>Vodoinstalace a hadice</t>
        </is>
      </c>
      <c r="C224" t="inlineStr">
        <is>
          <t>EP PPR T-KUS REDUKOVANÝ 25 X 20 X 25 MM</t>
        </is>
      </c>
      <c r="D224" t="inlineStr">
        <is>
          <t>2000000000626</t>
        </is>
      </c>
      <c r="E224" t="n">
        <v>15</v>
      </c>
      <c r="F224" t="n">
        <v>6</v>
      </c>
      <c r="G224" t="n">
        <v>4</v>
      </c>
      <c r="H224" t="n">
        <v>5</v>
      </c>
      <c r="I224" t="n">
        <v>62</v>
      </c>
      <c r="J224" t="n">
        <v>128</v>
      </c>
      <c r="K224" t="n">
        <v>20</v>
      </c>
      <c r="L224" t="inlineStr">
        <is>
          <t>TRIKER, a.s.</t>
        </is>
      </c>
      <c r="M224" t="inlineStr">
        <is>
          <t>Drogerie/Voda/Triker</t>
        </is>
      </c>
    </row>
    <row r="225">
      <c r="A225" t="inlineStr">
        <is>
          <t>jádro</t>
        </is>
      </c>
      <c r="B225" t="inlineStr">
        <is>
          <t>Vodoinstalace a hadice</t>
        </is>
      </c>
      <c r="C225" t="inlineStr">
        <is>
          <t>EP HTEM TRUBKA ODPADNÍ 40/ 250MM</t>
        </is>
      </c>
      <c r="D225" t="inlineStr">
        <is>
          <t>4002644090122</t>
        </is>
      </c>
      <c r="E225" t="n">
        <v>35</v>
      </c>
      <c r="F225" t="n">
        <v>5</v>
      </c>
      <c r="G225" t="n">
        <v>5</v>
      </c>
      <c r="H225" t="n">
        <v>5</v>
      </c>
      <c r="I225" t="n">
        <v>145</v>
      </c>
      <c r="J225" t="n">
        <v>128</v>
      </c>
      <c r="K225" t="n">
        <v>19</v>
      </c>
      <c r="L225" t="inlineStr">
        <is>
          <t>TRIKER, a.s.</t>
        </is>
      </c>
      <c r="M225" t="inlineStr">
        <is>
          <t>Drogerie/Voda/Triker</t>
        </is>
      </c>
    </row>
    <row r="226">
      <c r="A226" t="inlineStr">
        <is>
          <t>jádro</t>
        </is>
      </c>
      <c r="B226" t="inlineStr">
        <is>
          <t>Vodoinstalace a hadice</t>
        </is>
      </c>
      <c r="C226" t="inlineStr">
        <is>
          <t>EP HTB KOLENO 50MM 45o</t>
        </is>
      </c>
      <c r="D226" t="inlineStr">
        <is>
          <t>8600198009773</t>
        </is>
      </c>
      <c r="E226" t="n">
        <v>24</v>
      </c>
      <c r="F226" t="n">
        <v>5</v>
      </c>
      <c r="G226" t="n">
        <v>4</v>
      </c>
      <c r="H226" t="n">
        <v>4.5</v>
      </c>
      <c r="I226" t="n">
        <v>89</v>
      </c>
      <c r="J226" t="n">
        <v>151</v>
      </c>
      <c r="K226" t="n">
        <v>9</v>
      </c>
      <c r="L226" t="inlineStr">
        <is>
          <t>TRIKER, a.s.</t>
        </is>
      </c>
      <c r="M226" t="inlineStr">
        <is>
          <t>Drogerie/Voda/Triker</t>
        </is>
      </c>
    </row>
    <row r="227">
      <c r="A227" t="inlineStr">
        <is>
          <t>jádro</t>
        </is>
      </c>
      <c r="B227" t="inlineStr">
        <is>
          <t>Vodoinstalace a hadice</t>
        </is>
      </c>
      <c r="C227" t="inlineStr">
        <is>
          <t>SCHELL-ROH.VENTIL 1/2"X 3/8" BEZ MATKY  (COMFORT)</t>
        </is>
      </c>
      <c r="D227" t="inlineStr">
        <is>
          <t>4021163107579</t>
        </is>
      </c>
      <c r="E227" t="n">
        <v>189</v>
      </c>
      <c r="F227" t="n">
        <v>0</v>
      </c>
      <c r="G227" t="n">
        <v>9</v>
      </c>
      <c r="H227" t="n">
        <v>4.5</v>
      </c>
      <c r="I227" t="n">
        <v>664</v>
      </c>
      <c r="J227" t="n">
        <v>77</v>
      </c>
      <c r="K227" t="n">
        <v>0</v>
      </c>
      <c r="L227" t="inlineStr">
        <is>
          <t>TRIKER, a.s.</t>
        </is>
      </c>
      <c r="M227" t="inlineStr">
        <is>
          <t>Drogerie/Voda/Triker</t>
        </is>
      </c>
    </row>
    <row r="228">
      <c r="A228" t="inlineStr">
        <is>
          <t>jádro</t>
        </is>
      </c>
      <c r="B228" t="inlineStr">
        <is>
          <t>Vodoinstalace a hadice</t>
        </is>
      </c>
      <c r="C228" t="inlineStr">
        <is>
          <t>ND perlátor Raf M24x1na ploché ramínko, vnější závit</t>
        </is>
      </c>
      <c r="D228" t="inlineStr">
        <is>
          <t>2000000002453</t>
        </is>
      </c>
      <c r="E228" t="n">
        <v>45</v>
      </c>
      <c r="F228" t="n">
        <v>0</v>
      </c>
      <c r="G228" t="n">
        <v>9</v>
      </c>
      <c r="H228" t="n">
        <v>4.5</v>
      </c>
      <c r="I228" t="n">
        <v>156</v>
      </c>
      <c r="J228" t="n">
        <v>60</v>
      </c>
      <c r="K228" t="n">
        <v>47</v>
      </c>
      <c r="L228" t="inlineStr">
        <is>
          <t>TRIKER, a.s.</t>
        </is>
      </c>
      <c r="M228" t="inlineStr">
        <is>
          <t>Drogerie/Voda/Triker</t>
        </is>
      </c>
    </row>
    <row r="229">
      <c r="A229" t="inlineStr">
        <is>
          <t>jádro</t>
        </is>
      </c>
      <c r="B229" t="inlineStr">
        <is>
          <t>Vodoinstalace a hadice</t>
        </is>
      </c>
      <c r="C229" t="inlineStr">
        <is>
          <t>EP HTEM TRUBKA ODPADNÍ 50/ 250MM</t>
        </is>
      </c>
      <c r="D229" t="inlineStr">
        <is>
          <t>4002644090139</t>
        </is>
      </c>
      <c r="E229" t="n">
        <v>39</v>
      </c>
      <c r="F229" t="n">
        <v>7</v>
      </c>
      <c r="G229" t="n">
        <v>1</v>
      </c>
      <c r="H229" t="n">
        <v>4</v>
      </c>
      <c r="I229" t="n">
        <v>129</v>
      </c>
      <c r="J229" t="n">
        <v>138</v>
      </c>
      <c r="K229" t="n">
        <v>18</v>
      </c>
      <c r="L229" t="inlineStr">
        <is>
          <t>TRIKER, a.s.</t>
        </is>
      </c>
      <c r="M229" t="inlineStr">
        <is>
          <t>Drogerie/Voda/Triker</t>
        </is>
      </c>
    </row>
    <row r="230">
      <c r="A230" t="inlineStr">
        <is>
          <t>jádro</t>
        </is>
      </c>
      <c r="B230" t="inlineStr">
        <is>
          <t>Vodoinstalace a hadice</t>
        </is>
      </c>
      <c r="C230" t="inlineStr">
        <is>
          <t>Objímka stahovací 80 -100</t>
        </is>
      </c>
      <c r="D230" t="inlineStr">
        <is>
          <t>2000000000121</t>
        </is>
      </c>
      <c r="E230" t="n">
        <v>16</v>
      </c>
      <c r="F230" t="n">
        <v>4</v>
      </c>
      <c r="G230" t="n">
        <v>4</v>
      </c>
      <c r="H230" t="n">
        <v>4</v>
      </c>
      <c r="I230" t="n">
        <v>50</v>
      </c>
      <c r="J230" t="n">
        <v>365</v>
      </c>
      <c r="K230" t="n">
        <v>26</v>
      </c>
      <c r="L230" t="inlineStr">
        <is>
          <t>PPG Deco Czech a.s.</t>
        </is>
      </c>
      <c r="M230" t="inlineStr">
        <is>
          <t>Drogerie/Voda/Objímky</t>
        </is>
      </c>
    </row>
    <row r="231">
      <c r="A231" t="inlineStr">
        <is>
          <t>jádro</t>
        </is>
      </c>
      <c r="B231" t="inlineStr">
        <is>
          <t>Vodoinstalace a hadice</t>
        </is>
      </c>
      <c r="C231" t="inlineStr">
        <is>
          <t>EP MS REDUKCE 3/4" X 1/2"</t>
        </is>
      </c>
      <c r="D231" t="inlineStr">
        <is>
          <t>2000000001968</t>
        </is>
      </c>
      <c r="E231" t="n">
        <v>39</v>
      </c>
      <c r="F231" t="n">
        <v>4</v>
      </c>
      <c r="G231" t="n">
        <v>3</v>
      </c>
      <c r="H231" t="n">
        <v>3.5</v>
      </c>
      <c r="I231" t="n">
        <v>110</v>
      </c>
      <c r="J231" t="n">
        <v>85</v>
      </c>
      <c r="K231" t="n">
        <v>16</v>
      </c>
      <c r="L231" t="inlineStr">
        <is>
          <t>TRIKER, a.s.</t>
        </is>
      </c>
      <c r="M231" t="inlineStr">
        <is>
          <t>Drogerie/Voda/Triker</t>
        </is>
      </c>
    </row>
    <row r="232">
      <c r="A232" t="inlineStr">
        <is>
          <t>jádro</t>
        </is>
      </c>
      <c r="B232" t="inlineStr">
        <is>
          <t>Vodoinstalace a hadice</t>
        </is>
      </c>
      <c r="C232" t="inlineStr">
        <is>
          <t>EP HTEM TRUBKA ODPADNÍ 50/ 500MM</t>
        </is>
      </c>
      <c r="D232" t="inlineStr">
        <is>
          <t>4052836120205</t>
        </is>
      </c>
      <c r="E232" t="n">
        <v>44</v>
      </c>
      <c r="F232" t="n">
        <v>7</v>
      </c>
      <c r="G232" t="n">
        <v>0</v>
      </c>
      <c r="H232" t="n">
        <v>3.5</v>
      </c>
      <c r="I232" t="n">
        <v>127</v>
      </c>
      <c r="J232" t="n">
        <v>116</v>
      </c>
      <c r="K232" t="n">
        <v>20</v>
      </c>
      <c r="L232" t="inlineStr">
        <is>
          <t>TRIKER, a.s.</t>
        </is>
      </c>
      <c r="M232" t="inlineStr">
        <is>
          <t>Drogerie/Voda/Triker</t>
        </is>
      </c>
    </row>
    <row r="233">
      <c r="A233" t="inlineStr">
        <is>
          <t>jádro</t>
        </is>
      </c>
      <c r="B233" t="inlineStr">
        <is>
          <t>Vodoinstalace a hadice</t>
        </is>
      </c>
      <c r="C233" t="inlineStr">
        <is>
          <t>EP KGB KANALIZAČNÍ KOLENO 110MM 87o</t>
        </is>
      </c>
      <c r="D233" t="inlineStr">
        <is>
          <t>8600198021102</t>
        </is>
      </c>
      <c r="E233" t="n">
        <v>85</v>
      </c>
      <c r="F233" t="n">
        <v>3</v>
      </c>
      <c r="G233" t="n">
        <v>4</v>
      </c>
      <c r="H233" t="n">
        <v>3.5</v>
      </c>
      <c r="I233" t="n">
        <v>232</v>
      </c>
      <c r="J233" t="n">
        <v>186</v>
      </c>
      <c r="K233" t="n">
        <v>11</v>
      </c>
      <c r="L233" t="inlineStr">
        <is>
          <t>TRIKER, a.s.</t>
        </is>
      </c>
      <c r="M233" t="inlineStr">
        <is>
          <t>Drogerie/Voda/Triker</t>
        </is>
      </c>
    </row>
    <row r="234">
      <c r="A234" t="inlineStr">
        <is>
          <t>jádro</t>
        </is>
      </c>
      <c r="B234" t="inlineStr">
        <is>
          <t>Vodoinstalace a hadice</t>
        </is>
      </c>
      <c r="C234" t="inlineStr">
        <is>
          <t>EP PPR NÁTRUBEK 20MM</t>
        </is>
      </c>
      <c r="D234" t="inlineStr">
        <is>
          <t>2000000000718</t>
        </is>
      </c>
      <c r="E234" t="n">
        <v>12</v>
      </c>
      <c r="F234" t="n">
        <v>7</v>
      </c>
      <c r="G234" t="n">
        <v>0</v>
      </c>
      <c r="H234" t="n">
        <v>3.5</v>
      </c>
      <c r="I234" t="n">
        <v>35</v>
      </c>
      <c r="J234" t="n">
        <v>202</v>
      </c>
      <c r="K234" t="n">
        <v>21</v>
      </c>
      <c r="L234" t="inlineStr">
        <is>
          <t>TRIKER, a.s.</t>
        </is>
      </c>
      <c r="M234" t="inlineStr">
        <is>
          <t>Drogerie/Voda/Triker</t>
        </is>
      </c>
    </row>
    <row r="235">
      <c r="A235" t="inlineStr">
        <is>
          <t>jádro</t>
        </is>
      </c>
      <c r="B235" t="inlineStr">
        <is>
          <t>Vodoinstalace a hadice</t>
        </is>
      </c>
      <c r="C235" t="inlineStr">
        <is>
          <t>FV PPR ZÁSLEPKA 20MM</t>
        </is>
      </c>
      <c r="D235" t="inlineStr">
        <is>
          <t>2000000000831</t>
        </is>
      </c>
      <c r="E235" t="n">
        <v>9</v>
      </c>
      <c r="F235" t="n">
        <v>6</v>
      </c>
      <c r="G235" t="n">
        <v>1</v>
      </c>
      <c r="H235" t="n">
        <v>3.5</v>
      </c>
      <c r="I235" t="n">
        <v>25</v>
      </c>
      <c r="J235" t="n">
        <v>120</v>
      </c>
      <c r="K235" t="n">
        <v>17</v>
      </c>
      <c r="L235" t="inlineStr">
        <is>
          <t>TRIKER, a.s.</t>
        </is>
      </c>
      <c r="M235" t="inlineStr">
        <is>
          <t>Drogerie/Voda/Triker</t>
        </is>
      </c>
    </row>
    <row r="236">
      <c r="A236" t="inlineStr">
        <is>
          <t>jádro</t>
        </is>
      </c>
      <c r="B236" t="inlineStr">
        <is>
          <t>Vodoinstalace a hadice</t>
        </is>
      </c>
      <c r="C236" t="inlineStr">
        <is>
          <t>HTEM DN/OD TRUBKA 125 x3,1/ 500MM</t>
        </is>
      </c>
      <c r="D236" t="inlineStr">
        <is>
          <t>4052836160201</t>
        </is>
      </c>
      <c r="E236" t="n">
        <v>124</v>
      </c>
      <c r="F236" t="n">
        <v>1</v>
      </c>
      <c r="G236" t="n">
        <v>5</v>
      </c>
      <c r="H236" t="n">
        <v>3</v>
      </c>
      <c r="I236" t="n">
        <v>277</v>
      </c>
      <c r="J236" t="n">
        <v>94</v>
      </c>
      <c r="K236" t="n">
        <v>0</v>
      </c>
      <c r="L236" t="inlineStr">
        <is>
          <t>TRIKER, a.s.</t>
        </is>
      </c>
      <c r="M236" t="inlineStr">
        <is>
          <t>Drogerie/Voda/Triker</t>
        </is>
      </c>
    </row>
    <row r="237">
      <c r="A237" t="inlineStr">
        <is>
          <t>jádro</t>
        </is>
      </c>
      <c r="B237" t="inlineStr">
        <is>
          <t>Vodoinstalace a hadice</t>
        </is>
      </c>
      <c r="C237" t="inlineStr">
        <is>
          <t>EP MS PRODLOUŽENÍ 1/2" X 10MM</t>
        </is>
      </c>
      <c r="D237" t="inlineStr">
        <is>
          <t>2000000001838</t>
        </is>
      </c>
      <c r="E237" t="n">
        <v>34</v>
      </c>
      <c r="F237" t="n">
        <v>4</v>
      </c>
      <c r="G237" t="n">
        <v>2</v>
      </c>
      <c r="H237" t="n">
        <v>3</v>
      </c>
      <c r="I237" t="n">
        <v>84</v>
      </c>
      <c r="J237" t="n">
        <v>122</v>
      </c>
      <c r="K237" t="n">
        <v>22</v>
      </c>
      <c r="L237" t="inlineStr">
        <is>
          <t>TRIKER, a.s.</t>
        </is>
      </c>
      <c r="M237" t="inlineStr">
        <is>
          <t>Drogerie/Voda/Triker</t>
        </is>
      </c>
    </row>
    <row r="238">
      <c r="A238" t="inlineStr">
        <is>
          <t>jádro</t>
        </is>
      </c>
      <c r="B238" t="inlineStr">
        <is>
          <t>Vodoinstalace a hadice</t>
        </is>
      </c>
      <c r="C238" t="inlineStr">
        <is>
          <t>EP HTB KOLENO 40MM 87,5o</t>
        </is>
      </c>
      <c r="D238" t="inlineStr">
        <is>
          <t>8600198009902</t>
        </is>
      </c>
      <c r="E238" t="n">
        <v>21</v>
      </c>
      <c r="F238" t="n">
        <v>1</v>
      </c>
      <c r="G238" t="n">
        <v>5</v>
      </c>
      <c r="H238" t="n">
        <v>3</v>
      </c>
      <c r="I238" t="n">
        <v>51</v>
      </c>
      <c r="J238" t="n">
        <v>183</v>
      </c>
      <c r="K238" t="n">
        <v>20</v>
      </c>
      <c r="L238" t="inlineStr">
        <is>
          <t>TRIKER, a.s.</t>
        </is>
      </c>
      <c r="M238" t="inlineStr">
        <is>
          <t>Drogerie/Voda/Triker</t>
        </is>
      </c>
    </row>
    <row r="239">
      <c r="A239" t="inlineStr">
        <is>
          <t>jádro</t>
        </is>
      </c>
      <c r="B239" t="inlineStr">
        <is>
          <t>Vodoinstalace a hadice</t>
        </is>
      </c>
      <c r="C239" t="inlineStr">
        <is>
          <t>EP HTB KOLENO 50MM 87,5o</t>
        </is>
      </c>
      <c r="D239" t="inlineStr">
        <is>
          <t>8600198009919</t>
        </is>
      </c>
      <c r="E239" t="n">
        <v>24</v>
      </c>
      <c r="F239" t="n">
        <v>5</v>
      </c>
      <c r="G239" t="n">
        <v>1</v>
      </c>
      <c r="H239" t="n">
        <v>3</v>
      </c>
      <c r="I239" t="n">
        <v>59</v>
      </c>
      <c r="J239" t="n">
        <v>136</v>
      </c>
      <c r="K239" t="n">
        <v>16</v>
      </c>
      <c r="L239" t="inlineStr">
        <is>
          <t>TRIKER, a.s.</t>
        </is>
      </c>
      <c r="M239" t="inlineStr">
        <is>
          <t>Drogerie/Voda/Triker</t>
        </is>
      </c>
    </row>
    <row r="240">
      <c r="A240" t="inlineStr">
        <is>
          <t>jádro</t>
        </is>
      </c>
      <c r="B240" t="inlineStr">
        <is>
          <t>Vodoinstalace a hadice</t>
        </is>
      </c>
      <c r="C240" t="inlineStr">
        <is>
          <t>EP KGB KANALIZAČNÍ KOLENO 110MM 45o</t>
        </is>
      </c>
      <c r="D240" t="inlineStr">
        <is>
          <t>8600198021089</t>
        </is>
      </c>
      <c r="E240" t="n">
        <v>72.40000000000001</v>
      </c>
      <c r="F240" t="n">
        <v>0</v>
      </c>
      <c r="G240" t="n">
        <v>6</v>
      </c>
      <c r="H240" t="n">
        <v>3</v>
      </c>
      <c r="I240" t="n">
        <v>150</v>
      </c>
      <c r="J240" t="n">
        <v>163</v>
      </c>
      <c r="K240" t="n">
        <v>10</v>
      </c>
      <c r="L240" t="inlineStr">
        <is>
          <t>TRIKER, a.s.</t>
        </is>
      </c>
      <c r="M240" t="inlineStr">
        <is>
          <t>Drogerie/Voda/Triker</t>
        </is>
      </c>
    </row>
    <row r="241">
      <c r="A241" t="inlineStr">
        <is>
          <t>jádro</t>
        </is>
      </c>
      <c r="B241" t="inlineStr">
        <is>
          <t>Vodoinstalace a hadice</t>
        </is>
      </c>
      <c r="C241" t="inlineStr">
        <is>
          <t>EP KGEM KANALIZAČNÍ TRUBKA 125/ 500MM</t>
        </is>
      </c>
      <c r="D241" t="inlineStr">
        <is>
          <t>4052836160201</t>
        </is>
      </c>
      <c r="E241" t="n">
        <v>124</v>
      </c>
      <c r="F241" t="n">
        <v>1</v>
      </c>
      <c r="G241" t="n">
        <v>5</v>
      </c>
      <c r="H241" t="n">
        <v>3</v>
      </c>
      <c r="I241" t="n">
        <v>277</v>
      </c>
      <c r="J241" t="n">
        <v>94</v>
      </c>
      <c r="K241" t="n">
        <v>12</v>
      </c>
      <c r="L241" t="inlineStr">
        <is>
          <t>TRIKER, a.s.</t>
        </is>
      </c>
      <c r="M241" t="inlineStr">
        <is>
          <t>Drogerie/Voda/Triker</t>
        </is>
      </c>
    </row>
    <row r="242">
      <c r="A242" t="inlineStr">
        <is>
          <t>jádro</t>
        </is>
      </c>
      <c r="B242" t="inlineStr">
        <is>
          <t>Vodoinstalace a hadice</t>
        </is>
      </c>
      <c r="C242" t="inlineStr">
        <is>
          <t>EP PPR KOLENO 90o 25MM</t>
        </is>
      </c>
      <c r="D242" t="inlineStr">
        <is>
          <t>2000000000558</t>
        </is>
      </c>
      <c r="E242" t="n">
        <v>16</v>
      </c>
      <c r="F242" t="n">
        <v>2</v>
      </c>
      <c r="G242" t="n">
        <v>4</v>
      </c>
      <c r="H242" t="n">
        <v>3</v>
      </c>
      <c r="I242" t="n">
        <v>40</v>
      </c>
      <c r="J242" t="n">
        <v>147</v>
      </c>
      <c r="K242" t="n">
        <v>37</v>
      </c>
      <c r="L242" t="inlineStr">
        <is>
          <t>TRIKER, a.s.</t>
        </is>
      </c>
      <c r="M242" t="inlineStr">
        <is>
          <t>Drogerie/Voda/Triker</t>
        </is>
      </c>
    </row>
    <row r="243">
      <c r="A243" t="inlineStr">
        <is>
          <t>jádro</t>
        </is>
      </c>
      <c r="B243" t="inlineStr">
        <is>
          <t>Vodoinstalace a hadice</t>
        </is>
      </c>
      <c r="C243" t="inlineStr">
        <is>
          <t>VENTIL NAPOUŠTĚCÍ ALCAPLAST A150UNI</t>
        </is>
      </c>
      <c r="D243" t="inlineStr">
        <is>
          <t>8595580570637</t>
        </is>
      </c>
      <c r="E243" t="n">
        <v>269</v>
      </c>
      <c r="F243" t="n">
        <v>0</v>
      </c>
      <c r="G243" t="n">
        <v>6</v>
      </c>
      <c r="H243" t="n">
        <v>3</v>
      </c>
      <c r="I243" t="n">
        <v>667</v>
      </c>
      <c r="J243" t="n">
        <v>71</v>
      </c>
      <c r="K243" t="n">
        <v>4</v>
      </c>
      <c r="L243" t="inlineStr">
        <is>
          <t>TRIKER, a.s.</t>
        </is>
      </c>
      <c r="M243" t="inlineStr">
        <is>
          <t>Drogerie/Voda/Triker</t>
        </is>
      </c>
    </row>
    <row r="244">
      <c r="A244" t="inlineStr">
        <is>
          <t>jádro</t>
        </is>
      </c>
      <c r="B244" t="inlineStr">
        <is>
          <t>Úklid a čisticí prostředky</t>
        </is>
      </c>
      <c r="C244" t="inlineStr">
        <is>
          <t xml:space="preserve">Osvěžovač vzduchu -různé druhy 1+1 </t>
        </is>
      </c>
      <c r="D244" t="inlineStr">
        <is>
          <t>8423537015934</t>
        </is>
      </c>
      <c r="E244" t="n">
        <v>29</v>
      </c>
      <c r="F244" t="n">
        <v>14</v>
      </c>
      <c r="G244" t="n">
        <v>3</v>
      </c>
      <c r="H244" t="n">
        <v>8.5</v>
      </c>
      <c r="I244" t="n">
        <v>121</v>
      </c>
      <c r="J244" t="n">
        <v>84</v>
      </c>
      <c r="K244" t="n">
        <v>27</v>
      </c>
      <c r="L244" t="inlineStr">
        <is>
          <t>VELKOOBCHOD FAVE s.r.o.</t>
        </is>
      </c>
      <c r="M244" t="inlineStr">
        <is>
          <t>Drogerie/Drogerie/FAVE</t>
        </is>
      </c>
    </row>
    <row r="245">
      <c r="A245" t="inlineStr">
        <is>
          <t>jádro</t>
        </is>
      </c>
      <c r="B245" t="inlineStr">
        <is>
          <t>Úklid a čisticí prostředky</t>
        </is>
      </c>
      <c r="C245" t="inlineStr">
        <is>
          <t>Solvina 500g</t>
        </is>
      </c>
      <c r="D245" t="inlineStr">
        <is>
          <t>85939448</t>
        </is>
      </c>
      <c r="E245" t="n">
        <v>24</v>
      </c>
      <c r="F245" t="n">
        <v>15</v>
      </c>
      <c r="G245" t="n">
        <v>0</v>
      </c>
      <c r="H245" t="n">
        <v>7.5</v>
      </c>
      <c r="I245" t="n">
        <v>149</v>
      </c>
      <c r="J245" t="n">
        <v>297</v>
      </c>
      <c r="K245" t="n">
        <v>26</v>
      </c>
      <c r="L245" t="inlineStr">
        <is>
          <t>Petr Zachař</t>
        </is>
      </c>
      <c r="M245" t="inlineStr">
        <is>
          <t>Drogerie/Drogerie/Zachař</t>
        </is>
      </c>
    </row>
    <row r="246">
      <c r="A246" t="inlineStr">
        <is>
          <t>jádro</t>
        </is>
      </c>
      <c r="B246" t="inlineStr">
        <is>
          <t>Úklid a čisticí prostředky</t>
        </is>
      </c>
      <c r="C246" t="inlineStr">
        <is>
          <t xml:space="preserve">Praganda 250 gr </t>
        </is>
      </c>
      <c r="D246" t="inlineStr">
        <is>
          <t>8595005007021</t>
        </is>
      </c>
      <c r="E246" t="n">
        <v>16</v>
      </c>
      <c r="F246" t="n">
        <v>7</v>
      </c>
      <c r="G246" t="n">
        <v>7</v>
      </c>
      <c r="H246" t="n">
        <v>7</v>
      </c>
      <c r="I246" t="n">
        <v>96</v>
      </c>
      <c r="J246" t="n">
        <v>70</v>
      </c>
      <c r="K246" t="n">
        <v>31</v>
      </c>
      <c r="L246" t="inlineStr">
        <is>
          <t>Solvent ČR s.r.o.</t>
        </is>
      </c>
      <c r="M246" t="inlineStr">
        <is>
          <t>Drogerie/Drogerie/PKS</t>
        </is>
      </c>
    </row>
    <row r="247">
      <c r="A247" t="inlineStr">
        <is>
          <t>jádro</t>
        </is>
      </c>
      <c r="B247" t="inlineStr">
        <is>
          <t>Úklid a čisticí prostředky</t>
        </is>
      </c>
      <c r="C247" t="inlineStr">
        <is>
          <t>Domestos Extended Power 2l Pine</t>
        </is>
      </c>
      <c r="D247" t="inlineStr">
        <is>
          <t>5996037079544</t>
        </is>
      </c>
      <c r="E247" t="n">
        <v>59</v>
      </c>
      <c r="F247" t="n">
        <v>0</v>
      </c>
      <c r="G247" t="n">
        <v>13</v>
      </c>
      <c r="H247" t="n">
        <v>6.5</v>
      </c>
      <c r="I247" t="n">
        <v>317</v>
      </c>
      <c r="J247" t="n">
        <v>96</v>
      </c>
      <c r="K247" t="n">
        <v>0</v>
      </c>
      <c r="L247" t="inlineStr">
        <is>
          <t>Solvent ČR s.r.o.</t>
        </is>
      </c>
      <c r="M247" t="inlineStr">
        <is>
          <t>Drogerie/Drogerie/PKS</t>
        </is>
      </c>
    </row>
    <row r="248">
      <c r="A248" t="inlineStr">
        <is>
          <t>jádro</t>
        </is>
      </c>
      <c r="B248" t="inlineStr">
        <is>
          <t>Úklid a čisticí prostředky</t>
        </is>
      </c>
      <c r="C248" t="inlineStr">
        <is>
          <t>Pytle na odpadky 50ks 70x60 VIGO 60L</t>
        </is>
      </c>
      <c r="D248" t="inlineStr">
        <is>
          <t>5902841470262</t>
        </is>
      </c>
      <c r="E248" t="n">
        <v>39</v>
      </c>
      <c r="F248" t="n">
        <v>2</v>
      </c>
      <c r="G248" t="n">
        <v>10</v>
      </c>
      <c r="H248" t="n">
        <v>6</v>
      </c>
      <c r="I248" t="n">
        <v>184</v>
      </c>
      <c r="J248" t="n">
        <v>67</v>
      </c>
      <c r="K248" t="n">
        <v>5</v>
      </c>
      <c r="L248" t="inlineStr">
        <is>
          <t>BARVY A LAKY HOSTIVAŘ, a.s.</t>
        </is>
      </c>
      <c r="M248" t="inlineStr">
        <is>
          <t>Drogerie/Drogerie/BAL</t>
        </is>
      </c>
    </row>
    <row r="249">
      <c r="A249" t="inlineStr">
        <is>
          <t>jádro</t>
        </is>
      </c>
      <c r="B249" t="inlineStr">
        <is>
          <t>Úklid a čisticí prostředky</t>
        </is>
      </c>
      <c r="C249" t="inlineStr">
        <is>
          <t>Lopatka Economy 0220712 samostatně</t>
        </is>
      </c>
      <c r="D249" t="inlineStr">
        <is>
          <t>8590786227125</t>
        </is>
      </c>
      <c r="E249" t="n">
        <v>29</v>
      </c>
      <c r="F249" t="n">
        <v>0</v>
      </c>
      <c r="G249" t="n">
        <v>12</v>
      </c>
      <c r="H249" t="n">
        <v>6</v>
      </c>
      <c r="I249" t="n">
        <v>120</v>
      </c>
      <c r="J249" t="n">
        <v>88</v>
      </c>
      <c r="K249" t="n">
        <v>5</v>
      </c>
      <c r="L249" t="inlineStr">
        <is>
          <t>Petr Turek</t>
        </is>
      </c>
      <c r="M249" t="inlineStr">
        <is>
          <t>Drogerie/Drogerie/Turek</t>
        </is>
      </c>
    </row>
    <row r="250">
      <c r="A250" t="inlineStr">
        <is>
          <t>jádro</t>
        </is>
      </c>
      <c r="B250" t="inlineStr">
        <is>
          <t>Úklid a čisticí prostředky</t>
        </is>
      </c>
      <c r="C250" t="inlineStr">
        <is>
          <t>Q PowerBlue blok nádrž WC</t>
        </is>
      </c>
      <c r="D250" t="inlineStr">
        <is>
          <t>8590273703569</t>
        </is>
      </c>
      <c r="E250" t="n">
        <v>39</v>
      </c>
      <c r="F250" t="n">
        <v>4</v>
      </c>
      <c r="G250" t="n">
        <v>5</v>
      </c>
      <c r="H250" t="n">
        <v>4.5</v>
      </c>
      <c r="I250" t="n">
        <v>130</v>
      </c>
      <c r="J250" t="n">
        <v>50</v>
      </c>
      <c r="K250" t="n">
        <v>5</v>
      </c>
      <c r="L250" t="inlineStr">
        <is>
          <t>Solvent ČR s.r.o.</t>
        </is>
      </c>
      <c r="M250" t="inlineStr">
        <is>
          <t>Drogerie/Drogerie/PKS</t>
        </is>
      </c>
    </row>
    <row r="251">
      <c r="A251" t="inlineStr">
        <is>
          <t>jádro</t>
        </is>
      </c>
      <c r="B251" t="inlineStr">
        <is>
          <t>Úklid a čisticí prostředky</t>
        </is>
      </c>
      <c r="C251" t="inlineStr">
        <is>
          <t xml:space="preserve">Savo 1,2l </t>
        </is>
      </c>
      <c r="D251" t="inlineStr">
        <is>
          <t>8710522604991</t>
        </is>
      </c>
      <c r="E251" t="n">
        <v>67</v>
      </c>
      <c r="F251" t="n">
        <v>2</v>
      </c>
      <c r="G251" t="n">
        <v>7</v>
      </c>
      <c r="H251" t="n">
        <v>4.5</v>
      </c>
      <c r="I251" t="n">
        <v>249</v>
      </c>
      <c r="J251" t="n">
        <v>50</v>
      </c>
      <c r="K251" t="n">
        <v>16</v>
      </c>
      <c r="L251" t="inlineStr">
        <is>
          <t>Solvent ČR s.r.o.</t>
        </is>
      </c>
      <c r="M251" t="inlineStr">
        <is>
          <t>Drogerie/Drogerie/PKS</t>
        </is>
      </c>
    </row>
    <row r="252">
      <c r="A252" t="inlineStr">
        <is>
          <t>jádro</t>
        </is>
      </c>
      <c r="B252" t="inlineStr">
        <is>
          <t>Úklid a čisticí prostředky</t>
        </is>
      </c>
      <c r="C252" t="inlineStr">
        <is>
          <t>Pytel 170 l-100x125/60mm černé</t>
        </is>
      </c>
      <c r="D252" t="inlineStr">
        <is>
          <t>8594179601257</t>
        </is>
      </c>
      <c r="E252" t="n">
        <v>88</v>
      </c>
      <c r="F252" t="n">
        <v>3</v>
      </c>
      <c r="G252" t="n">
        <v>6</v>
      </c>
      <c r="H252" t="n">
        <v>4.5</v>
      </c>
      <c r="I252" t="n">
        <v>327</v>
      </c>
      <c r="J252" t="n">
        <v>48</v>
      </c>
      <c r="K252" t="n">
        <v>9</v>
      </c>
      <c r="L252" t="inlineStr">
        <is>
          <t>Restart Company s.r.o.</t>
        </is>
      </c>
      <c r="M252" t="inlineStr">
        <is>
          <t>Drogerie/Drogerie/Restart</t>
        </is>
      </c>
    </row>
    <row r="253">
      <c r="A253" t="inlineStr">
        <is>
          <t>jádro</t>
        </is>
      </c>
      <c r="B253" t="inlineStr">
        <is>
          <t>Úklid a čisticí prostředky</t>
        </is>
      </c>
      <c r="C253" t="inlineStr">
        <is>
          <t>Savo proti plísni 500 ml rozprašovač</t>
        </is>
      </c>
      <c r="D253" t="inlineStr">
        <is>
          <t>8594005390225</t>
        </is>
      </c>
      <c r="E253" t="n">
        <v>99</v>
      </c>
      <c r="F253" t="n">
        <v>4</v>
      </c>
      <c r="G253" t="n">
        <v>5</v>
      </c>
      <c r="H253" t="n">
        <v>4.5</v>
      </c>
      <c r="I253" t="n">
        <v>368</v>
      </c>
      <c r="J253" t="n">
        <v>49</v>
      </c>
      <c r="K253" t="n">
        <v>4</v>
      </c>
      <c r="L253" t="inlineStr">
        <is>
          <t>Solvent ČR s.r.o.</t>
        </is>
      </c>
      <c r="M253" t="inlineStr">
        <is>
          <t>Drogerie/Drogerie/PKS</t>
        </is>
      </c>
    </row>
    <row r="254">
      <c r="A254" t="inlineStr">
        <is>
          <t>jádro</t>
        </is>
      </c>
      <c r="B254" t="inlineStr">
        <is>
          <t>Úklid a čisticí prostředky</t>
        </is>
      </c>
      <c r="C254" t="inlineStr">
        <is>
          <t>Savo 4kg</t>
        </is>
      </c>
      <c r="D254" t="inlineStr">
        <is>
          <t>8710522605066</t>
        </is>
      </c>
      <c r="E254" t="n">
        <v>196</v>
      </c>
      <c r="F254" t="n">
        <v>4</v>
      </c>
      <c r="G254" t="n">
        <v>4</v>
      </c>
      <c r="H254" t="n">
        <v>4</v>
      </c>
      <c r="I254" t="n">
        <v>599</v>
      </c>
      <c r="J254" t="n">
        <v>61</v>
      </c>
      <c r="K254" t="n">
        <v>2</v>
      </c>
      <c r="L254" t="inlineStr">
        <is>
          <t>BARVY A LAKY HOSTIVAŘ, a.s.</t>
        </is>
      </c>
      <c r="M254" t="inlineStr">
        <is>
          <t>Drogerie/Technické/BAL</t>
        </is>
      </c>
    </row>
    <row r="255">
      <c r="A255" t="inlineStr">
        <is>
          <t>jádro</t>
        </is>
      </c>
      <c r="B255" t="inlineStr">
        <is>
          <t>Úklid a čisticí prostředky</t>
        </is>
      </c>
      <c r="C255" t="inlineStr">
        <is>
          <t>zamražovací sáčky č.2 Tr</t>
        </is>
      </c>
      <c r="D255" t="inlineStr">
        <is>
          <t>8594179600250</t>
        </is>
      </c>
      <c r="E255" t="n">
        <v>39</v>
      </c>
      <c r="F255" t="n">
        <v>5</v>
      </c>
      <c r="G255" t="n">
        <v>3</v>
      </c>
      <c r="H255" t="n">
        <v>4</v>
      </c>
      <c r="I255" t="n">
        <v>129</v>
      </c>
      <c r="J255" t="n">
        <v>61</v>
      </c>
      <c r="K255" t="n">
        <v>10</v>
      </c>
      <c r="L255" t="inlineStr">
        <is>
          <t>Restart Company s.r.o.</t>
        </is>
      </c>
      <c r="M255" t="inlineStr">
        <is>
          <t>Drogerie/Drogerie/Restart</t>
        </is>
      </c>
    </row>
    <row r="256">
      <c r="A256" t="inlineStr">
        <is>
          <t>jádro</t>
        </is>
      </c>
      <c r="B256" t="inlineStr">
        <is>
          <t>Úklid a čisticí prostředky</t>
        </is>
      </c>
      <c r="C256" t="inlineStr">
        <is>
          <t>Domestos na vodní kámen 750ml LIME</t>
        </is>
      </c>
      <c r="D256" t="inlineStr">
        <is>
          <t>8717644169490</t>
        </is>
      </c>
      <c r="E256" t="n">
        <v>65</v>
      </c>
      <c r="F256" t="n">
        <v>6</v>
      </c>
      <c r="G256" t="n">
        <v>1</v>
      </c>
      <c r="H256" t="n">
        <v>3.5</v>
      </c>
      <c r="I256" t="n">
        <v>188</v>
      </c>
      <c r="J256" t="n">
        <v>63</v>
      </c>
      <c r="K256" t="n">
        <v>8</v>
      </c>
      <c r="L256" t="inlineStr">
        <is>
          <t>Solvent ČR s.r.o.</t>
        </is>
      </c>
      <c r="M256" t="inlineStr">
        <is>
          <t>Drogerie/Drogerie/PKS</t>
        </is>
      </c>
    </row>
    <row r="257">
      <c r="A257" t="inlineStr">
        <is>
          <t>jádro</t>
        </is>
      </c>
      <c r="B257" t="inlineStr">
        <is>
          <t>Úklid a čisticí prostředky</t>
        </is>
      </c>
      <c r="C257" t="inlineStr">
        <is>
          <t>Hadr podlahový oranžový; 60x70 cm</t>
        </is>
      </c>
      <c r="D257" t="inlineStr">
        <is>
          <t>8595121010509</t>
        </is>
      </c>
      <c r="E257" t="n">
        <v>32</v>
      </c>
      <c r="F257" t="n">
        <v>4</v>
      </c>
      <c r="G257" t="n">
        <v>3</v>
      </c>
      <c r="H257" t="n">
        <v>3.5</v>
      </c>
      <c r="I257" t="n">
        <v>93</v>
      </c>
      <c r="J257" t="n">
        <v>74</v>
      </c>
      <c r="K257" t="n">
        <v>4</v>
      </c>
      <c r="L257" t="inlineStr">
        <is>
          <t>VELKOOBCHOD FAVE s.r.o.</t>
        </is>
      </c>
      <c r="M257" t="inlineStr">
        <is>
          <t>Drogerie/Drogerie/FAVE</t>
        </is>
      </c>
    </row>
    <row r="258">
      <c r="A258" t="inlineStr">
        <is>
          <t>jádro</t>
        </is>
      </c>
      <c r="B258" t="inlineStr">
        <is>
          <t>Úklid a čisticí prostředky</t>
        </is>
      </c>
      <c r="C258" t="inlineStr">
        <is>
          <t>JAR 900ML CITRON</t>
        </is>
      </c>
      <c r="D258" t="inlineStr">
        <is>
          <t>4015400795193</t>
        </is>
      </c>
      <c r="E258" t="n">
        <v>99</v>
      </c>
      <c r="F258" t="n">
        <v>6</v>
      </c>
      <c r="G258" t="n">
        <v>1</v>
      </c>
      <c r="H258" t="n">
        <v>3.5</v>
      </c>
      <c r="I258" t="n">
        <v>274</v>
      </c>
      <c r="J258" t="n">
        <v>38</v>
      </c>
      <c r="K258" t="n">
        <v>7</v>
      </c>
      <c r="L258" t="inlineStr">
        <is>
          <t>Petr Zachař</t>
        </is>
      </c>
      <c r="M258" t="inlineStr">
        <is>
          <t>Drogerie/Drogerie/Zachař</t>
        </is>
      </c>
    </row>
    <row r="259">
      <c r="A259" t="inlineStr">
        <is>
          <t>jádro</t>
        </is>
      </c>
      <c r="B259" t="inlineStr">
        <is>
          <t>Úklid a čisticí prostředky</t>
        </is>
      </c>
      <c r="C259" t="inlineStr">
        <is>
          <t>Pytle na odpad120l 25ks Q HOME solvent modré</t>
        </is>
      </c>
      <c r="D259" t="inlineStr">
        <is>
          <t>8590273712837</t>
        </is>
      </c>
      <c r="E259" t="n">
        <v>153</v>
      </c>
      <c r="F259" t="n">
        <v>2</v>
      </c>
      <c r="G259" t="n">
        <v>5</v>
      </c>
      <c r="H259" t="n">
        <v>3.5</v>
      </c>
      <c r="I259" t="n">
        <v>405</v>
      </c>
      <c r="J259" t="n">
        <v>0</v>
      </c>
      <c r="K259" t="n">
        <v>-3</v>
      </c>
      <c r="L259" t="inlineStr">
        <is>
          <t>Solvent ČR s.r.o.</t>
        </is>
      </c>
      <c r="M259" t="inlineStr">
        <is>
          <t>Drogerie/Drogerie/PKS</t>
        </is>
      </c>
    </row>
    <row r="260">
      <c r="A260" t="inlineStr">
        <is>
          <t>jádro</t>
        </is>
      </c>
      <c r="B260" t="inlineStr">
        <is>
          <t>Úklid a čisticí prostředky</t>
        </is>
      </c>
      <c r="C260" t="inlineStr">
        <is>
          <t>Zamražovací sáčky EXTRA 30x40 40ks/sáč. PK</t>
        </is>
      </c>
      <c r="D260" t="inlineStr">
        <is>
          <t>8594018000838</t>
        </is>
      </c>
      <c r="E260" t="n">
        <v>49</v>
      </c>
      <c r="F260" t="n">
        <v>0</v>
      </c>
      <c r="G260" t="n">
        <v>7</v>
      </c>
      <c r="H260" t="n">
        <v>3.5</v>
      </c>
      <c r="I260" t="n">
        <v>142</v>
      </c>
      <c r="J260" t="n">
        <v>53</v>
      </c>
      <c r="K260" t="n">
        <v>0</v>
      </c>
      <c r="L260" t="inlineStr">
        <is>
          <t>Solvent ČR s.r.o.</t>
        </is>
      </c>
      <c r="M260" t="inlineStr">
        <is>
          <t>Drogerie/Drogerie/PKS</t>
        </is>
      </c>
    </row>
    <row r="261">
      <c r="A261" t="inlineStr">
        <is>
          <t>jádro</t>
        </is>
      </c>
      <c r="B261" t="inlineStr">
        <is>
          <t>Úklid a čisticí prostředky</t>
        </is>
      </c>
      <c r="C261" t="inlineStr">
        <is>
          <t>Zatahovací pytle EKOZ 60L 10ks</t>
        </is>
      </c>
      <c r="D261" t="inlineStr">
        <is>
          <t>8594179600496</t>
        </is>
      </c>
      <c r="E261" t="n">
        <v>45</v>
      </c>
      <c r="F261" t="n">
        <v>4</v>
      </c>
      <c r="G261" t="n">
        <v>3</v>
      </c>
      <c r="H261" t="n">
        <v>3.5</v>
      </c>
      <c r="I261" t="n">
        <v>130</v>
      </c>
      <c r="J261" t="n">
        <v>67</v>
      </c>
      <c r="K261" t="n">
        <v>16</v>
      </c>
      <c r="L261" t="inlineStr">
        <is>
          <t>Restart Company s.r.o.</t>
        </is>
      </c>
      <c r="M261" t="inlineStr">
        <is>
          <t>Drogerie/Drogerie/Restart</t>
        </is>
      </c>
    </row>
    <row r="262">
      <c r="A262" t="inlineStr">
        <is>
          <t>jádro</t>
        </is>
      </c>
      <c r="B262" t="inlineStr">
        <is>
          <t>Úklid a čisticí prostředky</t>
        </is>
      </c>
      <c r="C262" t="inlineStr">
        <is>
          <t>Zamražovací sáčky č.4 TR</t>
        </is>
      </c>
      <c r="D262" t="inlineStr">
        <is>
          <t>8594179600281</t>
        </is>
      </c>
      <c r="E262" t="n">
        <v>42</v>
      </c>
      <c r="F262" t="n">
        <v>3</v>
      </c>
      <c r="G262" t="n">
        <v>4</v>
      </c>
      <c r="H262" t="n">
        <v>3.5</v>
      </c>
      <c r="I262" t="n">
        <v>121</v>
      </c>
      <c r="J262" t="n">
        <v>60</v>
      </c>
      <c r="K262" t="n">
        <v>14</v>
      </c>
      <c r="L262" t="inlineStr">
        <is>
          <t>Restart Company s.r.o.</t>
        </is>
      </c>
      <c r="M262" t="inlineStr">
        <is>
          <t>Drogerie/Drogerie/Restart</t>
        </is>
      </c>
    </row>
    <row r="263">
      <c r="A263" t="inlineStr">
        <is>
          <t>jádro</t>
        </is>
      </c>
      <c r="B263" t="inlineStr">
        <is>
          <t>Úklid a čisticí prostředky</t>
        </is>
      </c>
      <c r="C263" t="inlineStr">
        <is>
          <t>Brus. houba 1 prodl. hrana K180</t>
        </is>
      </c>
      <c r="D263" t="inlineStr">
        <is>
          <t>9002588600413</t>
        </is>
      </c>
      <c r="E263" t="n">
        <v>27</v>
      </c>
      <c r="F263" t="n">
        <v>2</v>
      </c>
      <c r="G263" t="n">
        <v>4</v>
      </c>
      <c r="H263" t="n">
        <v>3</v>
      </c>
      <c r="I263" t="n">
        <v>65</v>
      </c>
      <c r="J263" t="n">
        <v>48</v>
      </c>
      <c r="K263" t="n">
        <v>1</v>
      </c>
      <c r="L263" t="inlineStr">
        <is>
          <t>Schuller Eh'klar s.r.o.</t>
        </is>
      </c>
      <c r="M263" t="inlineStr">
        <is>
          <t>Drogerie/Technické/Schuller</t>
        </is>
      </c>
    </row>
    <row r="264">
      <c r="A264" t="inlineStr">
        <is>
          <t>jádro</t>
        </is>
      </c>
      <c r="B264" t="inlineStr">
        <is>
          <t>Úklid a čisticí prostředky</t>
        </is>
      </c>
      <c r="C264" t="inlineStr">
        <is>
          <t>Cif 500ml- lemon</t>
        </is>
      </c>
      <c r="D264" t="inlineStr">
        <is>
          <t>8712561552776</t>
        </is>
      </c>
      <c r="E264" t="n">
        <v>59</v>
      </c>
      <c r="F264" t="n">
        <v>3</v>
      </c>
      <c r="G264" t="n">
        <v>3</v>
      </c>
      <c r="H264" t="n">
        <v>3</v>
      </c>
      <c r="I264" t="n">
        <v>141</v>
      </c>
      <c r="J264" t="n">
        <v>60</v>
      </c>
      <c r="K264" t="n">
        <v>7</v>
      </c>
      <c r="L264" t="inlineStr">
        <is>
          <t>Solvent ČR s.r.o.</t>
        </is>
      </c>
      <c r="M264" t="inlineStr">
        <is>
          <t>Drogerie/Drogerie/PKS</t>
        </is>
      </c>
    </row>
    <row r="265">
      <c r="A265" t="inlineStr">
        <is>
          <t>jádro</t>
        </is>
      </c>
      <c r="B265" t="inlineStr">
        <is>
          <t>Úklid a čisticí prostředky</t>
        </is>
      </c>
      <c r="C265" t="inlineStr">
        <is>
          <t>Pytle na odpad 35l modré  36ks VIGO</t>
        </is>
      </c>
      <c r="D265" t="inlineStr">
        <is>
          <t>5902841470217</t>
        </is>
      </c>
      <c r="E265" t="n">
        <v>26</v>
      </c>
      <c r="F265" t="n">
        <v>2</v>
      </c>
      <c r="G265" t="n">
        <v>4</v>
      </c>
      <c r="H265" t="n">
        <v>3</v>
      </c>
      <c r="I265" t="n">
        <v>59</v>
      </c>
      <c r="J265" t="n">
        <v>38</v>
      </c>
      <c r="K265" t="n">
        <v>28</v>
      </c>
      <c r="L265" t="inlineStr">
        <is>
          <t>BARVY A LAKY HOSTIVAŘ, a.s.</t>
        </is>
      </c>
      <c r="M265" t="inlineStr">
        <is>
          <t>Drogerie/Drogerie/BAL</t>
        </is>
      </c>
    </row>
    <row r="266">
      <c r="A266" t="inlineStr">
        <is>
          <t>jádro</t>
        </is>
      </c>
      <c r="B266" t="inlineStr">
        <is>
          <t>Úklid a čisticí prostředky</t>
        </is>
      </c>
      <c r="C266" t="inlineStr">
        <is>
          <t>Pytle na odpad120l 25ks Q HOME solvent černé</t>
        </is>
      </c>
      <c r="D266" t="inlineStr">
        <is>
          <t>8590273712820</t>
        </is>
      </c>
      <c r="E266" t="n">
        <v>153</v>
      </c>
      <c r="F266" t="n">
        <v>6</v>
      </c>
      <c r="G266" t="n">
        <v>0</v>
      </c>
      <c r="H266" t="n">
        <v>3</v>
      </c>
      <c r="I266" t="n">
        <v>364</v>
      </c>
      <c r="J266" t="n">
        <v>67</v>
      </c>
      <c r="K266" t="n">
        <v>0</v>
      </c>
      <c r="L266" t="inlineStr">
        <is>
          <t>Solvent ČR s.r.o.</t>
        </is>
      </c>
      <c r="M266" t="inlineStr">
        <is>
          <t>Drogerie/Drogerie/PKS</t>
        </is>
      </c>
    </row>
    <row r="267">
      <c r="A267" t="inlineStr">
        <is>
          <t>jádro</t>
        </is>
      </c>
      <c r="B267" t="inlineStr">
        <is>
          <t>Úklid a čisticí prostředky</t>
        </is>
      </c>
      <c r="C267" t="inlineStr">
        <is>
          <t>Rejžák dřevěný 57b</t>
        </is>
      </c>
      <c r="D267" t="inlineStr">
        <is>
          <t>8584010252144</t>
        </is>
      </c>
      <c r="E267" t="n">
        <v>39</v>
      </c>
      <c r="F267" t="n">
        <v>0</v>
      </c>
      <c r="G267" t="n">
        <v>6</v>
      </c>
      <c r="H267" t="n">
        <v>3</v>
      </c>
      <c r="I267" t="n">
        <v>92</v>
      </c>
      <c r="J267" t="n">
        <v>94</v>
      </c>
      <c r="K267" t="n">
        <v>3</v>
      </c>
      <c r="L267" t="inlineStr">
        <is>
          <t>VELKOOBCHOD FAVE s.r.o.</t>
        </is>
      </c>
      <c r="M267" t="inlineStr">
        <is>
          <t>Drogerie/Drogerie/FAVE</t>
        </is>
      </c>
    </row>
    <row r="268">
      <c r="A268" t="inlineStr">
        <is>
          <t>jádro</t>
        </is>
      </c>
      <c r="B268" t="inlineStr">
        <is>
          <t>Úklid a čisticí prostředky</t>
        </is>
      </c>
      <c r="C268" t="inlineStr">
        <is>
          <t>SIFON UMYVADLOVÝ EUON 342DN40(1015C)ZÁTKA S OČKEM</t>
        </is>
      </c>
      <c r="D268" t="inlineStr">
        <is>
          <t>8595156224261</t>
        </is>
      </c>
      <c r="E268" t="n">
        <v>148</v>
      </c>
      <c r="F268" t="n">
        <v>4</v>
      </c>
      <c r="G268" t="n">
        <v>2</v>
      </c>
      <c r="H268" t="n">
        <v>3</v>
      </c>
      <c r="I268" t="n">
        <v>350</v>
      </c>
      <c r="J268" t="n">
        <v>73</v>
      </c>
      <c r="K268" t="n">
        <v>3</v>
      </c>
      <c r="L268" t="inlineStr">
        <is>
          <t>TRIKER, a.s.</t>
        </is>
      </c>
      <c r="M268" t="inlineStr">
        <is>
          <t>Drogerie/Voda/Triker</t>
        </is>
      </c>
    </row>
    <row r="269">
      <c r="A269" t="inlineStr">
        <is>
          <t>jádro</t>
        </is>
      </c>
      <c r="B269" t="inlineStr">
        <is>
          <t>Úklid a čisticí prostředky</t>
        </is>
      </c>
      <c r="C269" t="inlineStr">
        <is>
          <t>Krtek originál čistič odpadů 450g</t>
        </is>
      </c>
      <c r="D269" t="inlineStr">
        <is>
          <t>5901312001028</t>
        </is>
      </c>
      <c r="E269" t="n">
        <v>79</v>
      </c>
      <c r="F269" t="n">
        <v>5</v>
      </c>
      <c r="G269" t="n">
        <v>1</v>
      </c>
      <c r="H269" t="n">
        <v>3</v>
      </c>
      <c r="I269" t="n">
        <v>204</v>
      </c>
      <c r="J269" t="n">
        <v>62</v>
      </c>
      <c r="K269" t="n">
        <v>1</v>
      </c>
      <c r="L269" t="inlineStr">
        <is>
          <t>Solvent ČR s.r.o.</t>
        </is>
      </c>
      <c r="M269" t="inlineStr">
        <is>
          <t>Drogerie/Drogerie/PKS</t>
        </is>
      </c>
    </row>
    <row r="270">
      <c r="A270" t="inlineStr">
        <is>
          <t>jádro</t>
        </is>
      </c>
      <c r="B270" t="inlineStr">
        <is>
          <t>Úklid a čisticí prostředky</t>
        </is>
      </c>
      <c r="C270" t="inlineStr">
        <is>
          <t>Pytel 280L černé</t>
        </is>
      </c>
      <c r="D270" t="inlineStr">
        <is>
          <t>8594179601264</t>
        </is>
      </c>
      <c r="E270" t="n">
        <v>85</v>
      </c>
      <c r="F270" t="n">
        <v>2</v>
      </c>
      <c r="G270" t="n">
        <v>4</v>
      </c>
      <c r="H270" t="n">
        <v>3</v>
      </c>
      <c r="I270" t="n">
        <v>211</v>
      </c>
      <c r="J270" t="n">
        <v>47</v>
      </c>
      <c r="K270" t="n">
        <v>10</v>
      </c>
      <c r="L270" t="inlineStr">
        <is>
          <t>Restart Company s.r.o.</t>
        </is>
      </c>
      <c r="M270" t="inlineStr">
        <is>
          <t>Drogerie/Drogerie/Restart</t>
        </is>
      </c>
    </row>
    <row r="271">
      <c r="A271" t="inlineStr">
        <is>
          <t>jádro</t>
        </is>
      </c>
      <c r="B271" t="inlineStr">
        <is>
          <t>Úklid a čisticí prostředky</t>
        </is>
      </c>
      <c r="C271" t="inlineStr">
        <is>
          <t>Zamražovací sáčky č.3 TR</t>
        </is>
      </c>
      <c r="D271" t="inlineStr">
        <is>
          <t>8594179600274</t>
        </is>
      </c>
      <c r="E271" t="n">
        <v>49</v>
      </c>
      <c r="F271" t="n">
        <v>6</v>
      </c>
      <c r="G271" t="n">
        <v>0</v>
      </c>
      <c r="H271" t="n">
        <v>3</v>
      </c>
      <c r="I271" t="n">
        <v>121</v>
      </c>
      <c r="J271" t="n">
        <v>52</v>
      </c>
      <c r="K271" t="n">
        <v>12</v>
      </c>
      <c r="L271" t="inlineStr">
        <is>
          <t>Restart Company s.r.o.</t>
        </is>
      </c>
      <c r="M271" t="inlineStr">
        <is>
          <t>Drogerie/Drogerie/Restart</t>
        </is>
      </c>
    </row>
    <row r="272">
      <c r="A272" t="inlineStr">
        <is>
          <t>jádro</t>
        </is>
      </c>
      <c r="B272" t="inlineStr">
        <is>
          <t>Žárovky a světelné zdroje</t>
        </is>
      </c>
      <c r="C272" t="inlineStr">
        <is>
          <t>G9 kanlux</t>
        </is>
      </c>
      <c r="D272" t="inlineStr">
        <is>
          <t>5905339184214</t>
        </is>
      </c>
      <c r="E272" t="n">
        <v>39</v>
      </c>
      <c r="F272" t="n">
        <v>14</v>
      </c>
      <c r="G272" t="n">
        <v>14</v>
      </c>
      <c r="H272" t="n">
        <v>14</v>
      </c>
      <c r="I272" t="n">
        <v>443</v>
      </c>
      <c r="J272" t="n">
        <v>82</v>
      </c>
      <c r="K272" t="n">
        <v>11</v>
      </c>
      <c r="L272" t="inlineStr">
        <is>
          <t>MERTLÍK, spol. s r.o.</t>
        </is>
      </c>
      <c r="M272" t="inlineStr">
        <is>
          <t>Drogerie/Elektro/Mertlík</t>
        </is>
      </c>
    </row>
    <row r="273">
      <c r="A273" t="inlineStr">
        <is>
          <t>jádro</t>
        </is>
      </c>
      <c r="B273" t="inlineStr">
        <is>
          <t>Žárovky a světelné zdroje</t>
        </is>
      </c>
      <c r="C273" t="inlineStr">
        <is>
          <t>žárovka E 27 40 W tes-lamps</t>
        </is>
      </c>
      <c r="D273" t="inlineStr">
        <is>
          <t>8595557031765</t>
        </is>
      </c>
      <c r="E273" t="n">
        <v>20</v>
      </c>
      <c r="F273" t="n">
        <v>16</v>
      </c>
      <c r="G273" t="n">
        <v>6</v>
      </c>
      <c r="H273" t="n">
        <v>11</v>
      </c>
      <c r="I273" t="n">
        <v>164</v>
      </c>
      <c r="J273" t="n">
        <v>142</v>
      </c>
      <c r="K273" t="n">
        <v>23</v>
      </c>
      <c r="L273" t="inlineStr">
        <is>
          <t>MERTLÍK, spol. s r.o.</t>
        </is>
      </c>
      <c r="M273" t="inlineStr">
        <is>
          <t>Drogerie/Elektro/Mertlík</t>
        </is>
      </c>
    </row>
    <row r="274">
      <c r="A274" t="inlineStr">
        <is>
          <t>jádro</t>
        </is>
      </c>
      <c r="B274" t="inlineStr">
        <is>
          <t>Žárovky a světelné zdroje</t>
        </is>
      </c>
      <c r="C274" t="inlineStr">
        <is>
          <t>Techlamp 60W E27 Mertl.</t>
        </is>
      </c>
      <c r="D274" t="inlineStr">
        <is>
          <t>8595557031772</t>
        </is>
      </c>
      <c r="E274" t="n">
        <v>20</v>
      </c>
      <c r="F274" t="n">
        <v>18</v>
      </c>
      <c r="G274" t="n">
        <v>2</v>
      </c>
      <c r="H274" t="n">
        <v>10</v>
      </c>
      <c r="I274" t="n">
        <v>153</v>
      </c>
      <c r="J274" t="n">
        <v>135</v>
      </c>
      <c r="K274" t="n">
        <v>52</v>
      </c>
      <c r="L274" t="inlineStr">
        <is>
          <t>MERTLÍK, spol. s r.o.</t>
        </is>
      </c>
      <c r="M274" t="inlineStr">
        <is>
          <t>Drogerie/Elektro/Mertlík</t>
        </is>
      </c>
    </row>
    <row r="275">
      <c r="A275" t="inlineStr">
        <is>
          <t>jádro</t>
        </is>
      </c>
      <c r="B275" t="inlineStr">
        <is>
          <t>Žárovky a světelné zdroje</t>
        </is>
      </c>
      <c r="C275" t="inlineStr">
        <is>
          <t>TECH- LAMP svíčka E14 25W</t>
        </is>
      </c>
      <c r="D275" t="inlineStr">
        <is>
          <t>8595557031864</t>
        </is>
      </c>
      <c r="E275" t="n">
        <v>20</v>
      </c>
      <c r="F275" t="n">
        <v>3</v>
      </c>
      <c r="G275" t="n">
        <v>9</v>
      </c>
      <c r="H275" t="n">
        <v>6</v>
      </c>
      <c r="I275" t="n">
        <v>99</v>
      </c>
      <c r="J275" t="n">
        <v>137</v>
      </c>
      <c r="K275" t="n">
        <v>13</v>
      </c>
      <c r="L275" t="inlineStr">
        <is>
          <t>MERTLÍK, spol. s r.o.</t>
        </is>
      </c>
      <c r="M275" t="inlineStr">
        <is>
          <t>Drogerie/Elektro/Mertlík</t>
        </is>
      </c>
    </row>
    <row r="276">
      <c r="A276" t="inlineStr">
        <is>
          <t>jádro</t>
        </is>
      </c>
      <c r="B276" t="inlineStr">
        <is>
          <t>Žárovky a světelné zdroje</t>
        </is>
      </c>
      <c r="C276" t="inlineStr">
        <is>
          <t>Svítidlo Strend Pro LUPA 2xAA</t>
        </is>
      </c>
      <c r="D276" t="inlineStr">
        <is>
          <t>8584163069699</t>
        </is>
      </c>
      <c r="E276" t="n">
        <v>119</v>
      </c>
      <c r="F276" t="n">
        <v>4</v>
      </c>
      <c r="G276" t="n">
        <v>6</v>
      </c>
      <c r="H276" t="n">
        <v>5</v>
      </c>
      <c r="I276" t="n">
        <v>479</v>
      </c>
      <c r="J276" t="n">
        <v>56</v>
      </c>
      <c r="K276" t="n">
        <v>15</v>
      </c>
      <c r="L276" t="inlineStr">
        <is>
          <t>SLOVAKIA TREND EXPORT-IMPORT s. r. o</t>
        </is>
      </c>
      <c r="M276" t="inlineStr">
        <is>
          <t>Drogerie/Drogerie/Strend</t>
        </is>
      </c>
    </row>
    <row r="277">
      <c r="A277" t="inlineStr">
        <is>
          <t>jádro</t>
        </is>
      </c>
      <c r="B277" t="inlineStr">
        <is>
          <t>Žárovky a světelné zdroje</t>
        </is>
      </c>
      <c r="C277" t="inlineStr">
        <is>
          <t>Solight LED žárovka, bodová , 5W, GU10, 3000K, 425lm, bílá</t>
        </is>
      </c>
      <c r="D277" t="inlineStr">
        <is>
          <t>8592718018597</t>
        </is>
      </c>
      <c r="E277" t="n">
        <v>69</v>
      </c>
      <c r="F277" t="n">
        <v>2</v>
      </c>
      <c r="G277" t="n">
        <v>8</v>
      </c>
      <c r="H277" t="n">
        <v>5</v>
      </c>
      <c r="I277" t="n">
        <v>285</v>
      </c>
      <c r="J277" t="n">
        <v>207</v>
      </c>
      <c r="K277" t="n">
        <v>10</v>
      </c>
      <c r="L277" t="inlineStr">
        <is>
          <t>Solight Holding, s.r.o.</t>
        </is>
      </c>
      <c r="M277" t="inlineStr">
        <is>
          <t>Drogerie/Elektro/Solight</t>
        </is>
      </c>
    </row>
    <row r="278">
      <c r="A278" t="inlineStr">
        <is>
          <t>jádro</t>
        </is>
      </c>
      <c r="B278" t="inlineStr">
        <is>
          <t>Žárovky a světelné zdroje</t>
        </is>
      </c>
      <c r="C278" t="inlineStr">
        <is>
          <t>LEDVANCE led žár. 8W/60W/840 BÍLÁ</t>
        </is>
      </c>
      <c r="D278" t="inlineStr">
        <is>
          <t>4099854049187</t>
        </is>
      </c>
      <c r="E278" t="n">
        <v>89</v>
      </c>
      <c r="F278" t="n">
        <v>8</v>
      </c>
      <c r="G278" t="n">
        <v>0</v>
      </c>
      <c r="H278" t="n">
        <v>4</v>
      </c>
      <c r="I278" t="n">
        <v>279</v>
      </c>
      <c r="J278" t="n">
        <v>124</v>
      </c>
      <c r="K278" t="n">
        <v>0</v>
      </c>
      <c r="L278" t="inlineStr">
        <is>
          <t>MERTLÍK, spol. s r.o.</t>
        </is>
      </c>
      <c r="M278" t="inlineStr">
        <is>
          <t>Drogerie/Elektro/Mertlík</t>
        </is>
      </c>
    </row>
    <row r="279">
      <c r="A279" t="inlineStr">
        <is>
          <t>jádro</t>
        </is>
      </c>
      <c r="B279" t="inlineStr">
        <is>
          <t>Žárovky a světelné zdroje</t>
        </is>
      </c>
      <c r="C279" t="inlineStr">
        <is>
          <t>TES-LAMP Svíčka  E14 - 40W</t>
        </is>
      </c>
      <c r="D279" t="inlineStr">
        <is>
          <t>8595557035619</t>
        </is>
      </c>
      <c r="E279" t="n">
        <v>20</v>
      </c>
      <c r="F279" t="n">
        <v>5</v>
      </c>
      <c r="G279" t="n">
        <v>3</v>
      </c>
      <c r="H279" t="n">
        <v>4</v>
      </c>
      <c r="I279" t="n">
        <v>66</v>
      </c>
      <c r="J279" t="n">
        <v>137</v>
      </c>
      <c r="K279" t="n">
        <v>9</v>
      </c>
      <c r="L279" t="inlineStr">
        <is>
          <t>MERTLÍK, spol. s r.o.</t>
        </is>
      </c>
      <c r="M279" t="inlineStr">
        <is>
          <t>Drogerie/Elektro/Mertlík</t>
        </is>
      </c>
    </row>
    <row r="280">
      <c r="A280" t="inlineStr">
        <is>
          <t>jádro</t>
        </is>
      </c>
      <c r="B280" t="inlineStr">
        <is>
          <t>Žárovky a světelné zdroje</t>
        </is>
      </c>
      <c r="C280" t="inlineStr">
        <is>
          <t>LEDVANCE LED E27 8,5W/warm white/60W 9620</t>
        </is>
      </c>
      <c r="D280" t="inlineStr">
        <is>
          <t>4099854049620</t>
        </is>
      </c>
      <c r="E280" t="n">
        <v>89</v>
      </c>
      <c r="F280" t="n">
        <v>7</v>
      </c>
      <c r="G280" t="n">
        <v>0</v>
      </c>
      <c r="H280" t="n">
        <v>3.5</v>
      </c>
      <c r="I280" t="n">
        <v>247</v>
      </c>
      <c r="J280" t="n">
        <v>124</v>
      </c>
      <c r="K280" t="n">
        <v>5</v>
      </c>
      <c r="L280" t="inlineStr">
        <is>
          <t>MERTLÍK, spol. s r.o.</t>
        </is>
      </c>
      <c r="M280" t="inlineStr">
        <is>
          <t>Drogerie/Elektro/Mertlík</t>
        </is>
      </c>
    </row>
    <row r="281">
      <c r="A281" t="inlineStr">
        <is>
          <t>jádro</t>
        </is>
      </c>
      <c r="B281" t="inlineStr">
        <is>
          <t>Žárovky a světelné zdroje</t>
        </is>
      </c>
      <c r="C281" t="inlineStr">
        <is>
          <t>e27 ilum. čirý 40w topný</t>
        </is>
      </c>
      <c r="D281" t="inlineStr">
        <is>
          <t>8595557035664</t>
        </is>
      </c>
      <c r="E281" t="n">
        <v>20</v>
      </c>
      <c r="F281" t="n">
        <v>6</v>
      </c>
      <c r="G281" t="n">
        <v>0</v>
      </c>
      <c r="H281" t="n">
        <v>3</v>
      </c>
      <c r="I281" t="n">
        <v>50</v>
      </c>
      <c r="J281" t="n">
        <v>120</v>
      </c>
      <c r="K281" t="n">
        <v>15</v>
      </c>
      <c r="L281" t="inlineStr">
        <is>
          <t>MERTLÍK, spol. s r.o.</t>
        </is>
      </c>
      <c r="M281" t="inlineStr">
        <is>
          <t>Drogerie/Elektro/Mertlík</t>
        </is>
      </c>
    </row>
    <row r="282">
      <c r="A282" t="inlineStr">
        <is>
          <t>jádro</t>
        </is>
      </c>
      <c r="B282" t="inlineStr">
        <is>
          <t>Žárovky a světelné zdroje</t>
        </is>
      </c>
      <c r="C282" t="inlineStr">
        <is>
          <t>Reflektor 40w E14</t>
        </is>
      </c>
      <c r="D282" t="inlineStr">
        <is>
          <t>8595557031901</t>
        </is>
      </c>
      <c r="E282" t="n">
        <v>39</v>
      </c>
      <c r="F282" t="n">
        <v>6</v>
      </c>
      <c r="G282" t="n">
        <v>0</v>
      </c>
      <c r="H282" t="n">
        <v>3</v>
      </c>
      <c r="I282" t="n">
        <v>97</v>
      </c>
      <c r="J282" t="n">
        <v>128</v>
      </c>
      <c r="K282" t="n">
        <v>4</v>
      </c>
      <c r="L282" t="inlineStr">
        <is>
          <t>MERTLÍK, spol. s r.o.</t>
        </is>
      </c>
      <c r="M282" t="inlineStr">
        <is>
          <t>Drogerie/Elektro/Mertlík</t>
        </is>
      </c>
    </row>
    <row r="283">
      <c r="A283" t="inlineStr">
        <is>
          <t>jádro</t>
        </is>
      </c>
      <c r="B283" t="inlineStr">
        <is>
          <t>Žárovky a světelné zdroje</t>
        </is>
      </c>
      <c r="C283" t="inlineStr">
        <is>
          <t xml:space="preserve">Narva E14 25W 300 C do trub </t>
        </is>
      </c>
      <c r="D283" t="inlineStr">
        <is>
          <t>8595209975737</t>
        </is>
      </c>
      <c r="E283" t="n">
        <v>36</v>
      </c>
      <c r="F283" t="n">
        <v>1</v>
      </c>
      <c r="G283" t="n">
        <v>5</v>
      </c>
      <c r="H283" t="n">
        <v>3</v>
      </c>
      <c r="I283" t="n">
        <v>89</v>
      </c>
      <c r="J283" t="n">
        <v>51</v>
      </c>
      <c r="K283" t="n">
        <v>1</v>
      </c>
      <c r="L283" t="inlineStr">
        <is>
          <t>MERTLÍK, spol. s r.o.</t>
        </is>
      </c>
      <c r="M283" t="inlineStr">
        <is>
          <t>Drogerie/Elektro/Mertlík</t>
        </is>
      </c>
    </row>
    <row r="284">
      <c r="A284" t="inlineStr">
        <is>
          <t>ne</t>
        </is>
      </c>
      <c r="B284" t="inlineStr">
        <is>
          <t>Nezařazeno</t>
        </is>
      </c>
      <c r="C284" t="inlineStr">
        <is>
          <t>Body 950 sprey plastizol černý 400ml</t>
        </is>
      </c>
      <c r="D284" t="inlineStr">
        <is>
          <t>5203473510013</t>
        </is>
      </c>
      <c r="E284" t="n">
        <v>169</v>
      </c>
      <c r="F284" t="n">
        <v>4</v>
      </c>
      <c r="G284" t="n">
        <v>6</v>
      </c>
      <c r="H284" t="n">
        <v>5</v>
      </c>
      <c r="I284" t="n">
        <v>674</v>
      </c>
      <c r="J284" t="n">
        <v>69</v>
      </c>
      <c r="K284" t="n">
        <v>6</v>
      </c>
      <c r="L284" t="inlineStr">
        <is>
          <t>BODY COLOR, s.r.o.</t>
        </is>
      </c>
      <c r="M284" t="inlineStr">
        <is>
          <t>Drogerie/Technické/BODY</t>
        </is>
      </c>
    </row>
    <row r="285">
      <c r="A285" t="inlineStr">
        <is>
          <t>ne</t>
        </is>
      </c>
      <c r="B285" t="inlineStr">
        <is>
          <t>Nezařazeno</t>
        </is>
      </c>
      <c r="C285" t="inlineStr">
        <is>
          <t>Mio 2000 tekutý písek 600 g</t>
        </is>
      </c>
      <c r="D285" t="inlineStr">
        <is>
          <t>8594004376015</t>
        </is>
      </c>
      <c r="E285" t="n">
        <v>55</v>
      </c>
      <c r="F285" t="n">
        <v>4</v>
      </c>
      <c r="G285" t="n">
        <v>3</v>
      </c>
      <c r="H285" t="n">
        <v>3.5</v>
      </c>
      <c r="I285" t="n">
        <v>151</v>
      </c>
      <c r="J285" t="n">
        <v>73</v>
      </c>
      <c r="K285" t="n">
        <v>6</v>
      </c>
      <c r="L285" t="inlineStr">
        <is>
          <t>Solvent ČR s.r.o.</t>
        </is>
      </c>
      <c r="M285" t="inlineStr">
        <is>
          <t>Drogerie/Drogerie/PKS</t>
        </is>
      </c>
    </row>
    <row r="286">
      <c r="A286" t="inlineStr">
        <is>
          <t>ne</t>
        </is>
      </c>
      <c r="B286" t="inlineStr">
        <is>
          <t>Nezařazeno</t>
        </is>
      </c>
      <c r="C286" t="inlineStr">
        <is>
          <t>Induona Original 85ml</t>
        </is>
      </c>
      <c r="D286" t="inlineStr">
        <is>
          <t>8586017550476</t>
        </is>
      </c>
      <c r="E286" t="n">
        <v>59</v>
      </c>
      <c r="F286" t="n">
        <v>2</v>
      </c>
      <c r="G286" t="n">
        <v>4</v>
      </c>
      <c r="H286" t="n">
        <v>3</v>
      </c>
      <c r="I286" t="n">
        <v>144</v>
      </c>
      <c r="J286" t="n">
        <v>73</v>
      </c>
      <c r="K286" t="n">
        <v>5</v>
      </c>
      <c r="L286" t="inlineStr">
        <is>
          <t>Petr Turek</t>
        </is>
      </c>
      <c r="M286" t="inlineStr">
        <is>
          <t>Drogerie/Drogerie/Turek</t>
        </is>
      </c>
    </row>
    <row r="287">
      <c r="A287" t="inlineStr">
        <is>
          <t>ne</t>
        </is>
      </c>
      <c r="B287" t="inlineStr">
        <is>
          <t>Nezařazeno</t>
        </is>
      </c>
      <c r="C287" t="inlineStr">
        <is>
          <t xml:space="preserve">LR 44 Varta </t>
        </is>
      </c>
      <c r="D287" t="inlineStr">
        <is>
          <t>4008496297641</t>
        </is>
      </c>
      <c r="E287" t="n">
        <v>35</v>
      </c>
      <c r="F287" t="n">
        <v>5</v>
      </c>
      <c r="G287" t="n">
        <v>1</v>
      </c>
      <c r="H287" t="n">
        <v>3</v>
      </c>
      <c r="I287" t="n">
        <v>87</v>
      </c>
      <c r="J287" t="n">
        <v>174</v>
      </c>
      <c r="K287" t="n">
        <v>5</v>
      </c>
      <c r="L287" t="inlineStr">
        <is>
          <t>MERTLÍK, spol. s r.o.</t>
        </is>
      </c>
      <c r="M287" t="inlineStr">
        <is>
          <t>Drogerie/Elektro/Mertlík</t>
        </is>
      </c>
    </row>
    <row r="288">
      <c r="A288" t="inlineStr">
        <is>
          <t>ne</t>
        </is>
      </c>
      <c r="B288" t="inlineStr">
        <is>
          <t>Nezařazeno</t>
        </is>
      </c>
      <c r="C288" t="inlineStr">
        <is>
          <t>Rozprašovač 250ml Petra</t>
        </is>
      </c>
      <c r="D288" t="inlineStr">
        <is>
          <t>8414926389033</t>
        </is>
      </c>
      <c r="E288" t="n">
        <v>45</v>
      </c>
      <c r="F288" t="n">
        <v>4</v>
      </c>
      <c r="G288" t="n">
        <v>2</v>
      </c>
      <c r="H288" t="n">
        <v>3</v>
      </c>
      <c r="I288" t="n">
        <v>112</v>
      </c>
      <c r="J288" t="n">
        <v>33</v>
      </c>
      <c r="K288" t="n">
        <v>0</v>
      </c>
      <c r="L288" t="inlineStr">
        <is>
          <t>Alpik s.r.o.</t>
        </is>
      </c>
      <c r="M288" t="inlineStr">
        <is>
          <t>Drogerie/Drogerie/Ostatní</t>
        </is>
      </c>
    </row>
    <row r="289">
      <c r="A289" t="inlineStr">
        <is>
          <t>ne</t>
        </is>
      </c>
      <c r="B289" t="inlineStr">
        <is>
          <t>Nezařazeno</t>
        </is>
      </c>
      <c r="C289" t="inlineStr">
        <is>
          <t>Stromový balzám</t>
        </is>
      </c>
      <c r="D289" t="inlineStr">
        <is>
          <t>8595030523411</t>
        </is>
      </c>
      <c r="E289" t="n">
        <v>85</v>
      </c>
      <c r="F289" t="n">
        <v>6</v>
      </c>
      <c r="G289" t="n">
        <v>0</v>
      </c>
      <c r="H289" t="n">
        <v>3</v>
      </c>
      <c r="I289" t="n">
        <v>245</v>
      </c>
      <c r="J289" t="n">
        <v>122</v>
      </c>
      <c r="K289" t="n">
        <v>0</v>
      </c>
      <c r="L289" t="inlineStr">
        <is>
          <t>Solvent ČR s.r.o.</t>
        </is>
      </c>
      <c r="M289" t="inlineStr">
        <is>
          <t>Drogerie/Drogerie/PKS</t>
        </is>
      </c>
    </row>
    <row r="290">
      <c r="A290" t="inlineStr">
        <is>
          <t>ne</t>
        </is>
      </c>
      <c r="B290" t="inlineStr">
        <is>
          <t>Nezařazeno</t>
        </is>
      </c>
      <c r="C290" t="inlineStr">
        <is>
          <t xml:space="preserve">VYSOKÁ TEPLOTA 600°C černá matná </t>
        </is>
      </c>
      <c r="D290" t="inlineStr">
        <is>
          <t>8595642501203</t>
        </is>
      </c>
      <c r="E290" t="n">
        <v>225</v>
      </c>
      <c r="F290" t="n">
        <v>1</v>
      </c>
      <c r="G290" t="n">
        <v>5</v>
      </c>
      <c r="H290" t="n">
        <v>3</v>
      </c>
      <c r="I290" t="n">
        <v>558</v>
      </c>
      <c r="J290" t="n">
        <v>72</v>
      </c>
      <c r="K290" t="n">
        <v>6</v>
      </c>
      <c r="L290" t="inlineStr">
        <is>
          <t>PRO-TECH aerosol s.r.o.</t>
        </is>
      </c>
      <c r="M290" t="inlineStr">
        <is>
          <t>Drogerie/Technické/PROTECH spreje</t>
        </is>
      </c>
    </row>
    <row r="291">
      <c r="A291" t="inlineStr">
        <is>
          <t>ne</t>
        </is>
      </c>
      <c r="B291" t="inlineStr">
        <is>
          <t>Nezařazeno</t>
        </is>
      </c>
      <c r="C291" t="inlineStr">
        <is>
          <t>Náhradní špička na tekutou kotvu blistr 3 kusy</t>
        </is>
      </c>
      <c r="D291" t="inlineStr">
        <is>
          <t>8595100126788</t>
        </is>
      </c>
      <c r="E291" t="n">
        <v>79</v>
      </c>
      <c r="F291" t="n">
        <v>2</v>
      </c>
      <c r="G291" t="n">
        <v>4</v>
      </c>
      <c r="H291" t="n">
        <v>3</v>
      </c>
      <c r="I291" t="n">
        <v>159</v>
      </c>
      <c r="J291" t="n">
        <v>48</v>
      </c>
      <c r="K291" t="n">
        <v>5</v>
      </c>
      <c r="L291" t="inlineStr">
        <is>
          <t>Den Braven Czech and Slovak a.s.</t>
        </is>
      </c>
      <c r="M291" t="inlineStr">
        <is>
          <t>Drogerie/Technické/DEN BRAVEN</t>
        </is>
      </c>
    </row>
    <row r="292">
      <c r="A292" t="inlineStr">
        <is>
          <t>ne</t>
        </is>
      </c>
      <c r="B292" t="inlineStr">
        <is>
          <t>Nezařazeno</t>
        </is>
      </c>
      <c r="C292" t="inlineStr">
        <is>
          <t>Body 930 sprey bitumen černý  400ml</t>
        </is>
      </c>
      <c r="D292" t="inlineStr">
        <is>
          <t>5203473510327</t>
        </is>
      </c>
      <c r="E292" t="n">
        <v>156</v>
      </c>
      <c r="F292" t="n">
        <v>3</v>
      </c>
      <c r="G292" t="n">
        <v>3</v>
      </c>
      <c r="H292" t="n">
        <v>3</v>
      </c>
      <c r="I292" t="n">
        <v>387</v>
      </c>
      <c r="J292" t="n">
        <v>53</v>
      </c>
      <c r="K292" t="n">
        <v>5</v>
      </c>
      <c r="L292" t="inlineStr">
        <is>
          <t>BODY COLOR, s.r.o.</t>
        </is>
      </c>
      <c r="M292" t="inlineStr">
        <is>
          <t>Drogerie/Technické/BODY</t>
        </is>
      </c>
    </row>
    <row r="293">
      <c r="A293" t="inlineStr">
        <is>
          <t>ne</t>
        </is>
      </c>
      <c r="B293" t="inlineStr">
        <is>
          <t>Nátěrové hmoty (barvy, laky, lazury)</t>
        </is>
      </c>
      <c r="C293" t="inlineStr">
        <is>
          <t>Sítko na lak nylon 260my</t>
        </is>
      </c>
      <c r="D293" t="inlineStr">
        <is>
          <t>9002588420004</t>
        </is>
      </c>
      <c r="E293" t="n">
        <v>8</v>
      </c>
      <c r="F293" t="n">
        <v>6</v>
      </c>
      <c r="G293" t="n">
        <v>11</v>
      </c>
      <c r="H293" t="n">
        <v>8.5</v>
      </c>
      <c r="I293" t="n">
        <v>55</v>
      </c>
      <c r="J293" t="n">
        <v>179</v>
      </c>
      <c r="K293" t="n">
        <v>72</v>
      </c>
      <c r="L293" t="inlineStr">
        <is>
          <t>Schuller Eh'klar s.r.o.</t>
        </is>
      </c>
      <c r="M293" t="inlineStr">
        <is>
          <t>Drogerie/Technické/Schuller</t>
        </is>
      </c>
    </row>
    <row r="294">
      <c r="A294" t="inlineStr">
        <is>
          <t>ne</t>
        </is>
      </c>
      <c r="B294" t="inlineStr">
        <is>
          <t>Nátěrové hmoty (barvy, laky, lazury)</t>
        </is>
      </c>
      <c r="C294" t="inlineStr">
        <is>
          <t xml:space="preserve">Olejová kapsle MIX </t>
        </is>
      </c>
      <c r="D294" t="inlineStr">
        <is>
          <t>8595014711339</t>
        </is>
      </c>
      <c r="E294" t="n">
        <v>11</v>
      </c>
      <c r="F294" t="n">
        <v>2</v>
      </c>
      <c r="G294" t="n">
        <v>9</v>
      </c>
      <c r="H294" t="n">
        <v>5.5</v>
      </c>
      <c r="I294" t="n">
        <v>46</v>
      </c>
      <c r="J294" t="n">
        <v>67</v>
      </c>
      <c r="K294" t="n">
        <v>127</v>
      </c>
      <c r="L294" t="inlineStr">
        <is>
          <t>Stanislav Ryšavý</t>
        </is>
      </c>
      <c r="M294" t="inlineStr">
        <is>
          <t>Drogerie/Drogerie/Ryšavý</t>
        </is>
      </c>
    </row>
    <row r="295">
      <c r="A295" t="inlineStr">
        <is>
          <t>ne</t>
        </is>
      </c>
      <c r="B295" t="inlineStr">
        <is>
          <t>Nátěrové hmoty (barvy, laky, lazury)</t>
        </is>
      </c>
      <c r="C295" t="inlineStr">
        <is>
          <t>Bochemit proti plísním, 500 ml, rozprašovač</t>
        </is>
      </c>
      <c r="D295" t="inlineStr">
        <is>
          <t>8595598704055</t>
        </is>
      </c>
      <c r="E295" t="n">
        <v>99</v>
      </c>
      <c r="F295" t="n">
        <v>11</v>
      </c>
      <c r="G295" t="n">
        <v>0</v>
      </c>
      <c r="H295" t="n">
        <v>5.5</v>
      </c>
      <c r="I295" t="n">
        <v>442</v>
      </c>
      <c r="J295" t="n">
        <v>89</v>
      </c>
      <c r="K295" t="n">
        <v>10</v>
      </c>
      <c r="L295" t="inlineStr">
        <is>
          <t>PPG Deco Czech a.s.</t>
        </is>
      </c>
      <c r="M295" t="inlineStr">
        <is>
          <t>Drogerie/Vylistovat</t>
        </is>
      </c>
    </row>
    <row r="296">
      <c r="A296" t="inlineStr">
        <is>
          <t>ne</t>
        </is>
      </c>
      <c r="B296" t="inlineStr">
        <is>
          <t>Nátěrové hmoty (barvy, laky, lazury)</t>
        </is>
      </c>
      <c r="C296" t="inlineStr">
        <is>
          <t>Alkyton 250 ml 5010 1+1</t>
        </is>
      </c>
      <c r="D296" t="inlineStr">
        <is>
          <t>8715743006760</t>
        </is>
      </c>
      <c r="E296" t="n">
        <v>265</v>
      </c>
      <c r="F296" t="n">
        <v>2</v>
      </c>
      <c r="G296" t="n">
        <v>9</v>
      </c>
      <c r="H296" t="n">
        <v>5.5</v>
      </c>
      <c r="I296" t="n">
        <v>664</v>
      </c>
      <c r="J296" t="n">
        <v>317</v>
      </c>
      <c r="K296" t="n">
        <v>15</v>
      </c>
      <c r="L296" t="inlineStr">
        <is>
          <t>PROZK s.r.o.</t>
        </is>
      </c>
      <c r="M296" t="inlineStr">
        <is>
          <t>Drogerie/Technické/Alkyton</t>
        </is>
      </c>
    </row>
    <row r="297">
      <c r="A297" t="inlineStr">
        <is>
          <t>ne</t>
        </is>
      </c>
      <c r="B297" t="inlineStr">
        <is>
          <t>Nátěrové hmoty (barvy, laky, lazury)</t>
        </is>
      </c>
      <c r="C297" t="inlineStr">
        <is>
          <t xml:space="preserve">Het Klasik 1,5 kg </t>
        </is>
      </c>
      <c r="D297" t="inlineStr">
        <is>
          <t>8594002533700</t>
        </is>
      </c>
      <c r="E297" t="n">
        <v>150</v>
      </c>
      <c r="F297" t="n">
        <v>6</v>
      </c>
      <c r="G297" t="n">
        <v>3</v>
      </c>
      <c r="H297" t="n">
        <v>4.5</v>
      </c>
      <c r="I297" t="n">
        <v>554</v>
      </c>
      <c r="J297" t="n">
        <v>53</v>
      </c>
      <c r="K297" t="n">
        <v>11</v>
      </c>
      <c r="L297" t="inlineStr">
        <is>
          <t>BARVY A LAKY HOSTIVAŘ, a.s.</t>
        </is>
      </c>
      <c r="M297" t="inlineStr">
        <is>
          <t>Drogerie/Technické/HET</t>
        </is>
      </c>
    </row>
    <row r="298">
      <c r="A298" t="inlineStr">
        <is>
          <t>ne</t>
        </is>
      </c>
      <c r="B298" t="inlineStr">
        <is>
          <t>Nátěrové hmoty (barvy, laky, lazury)</t>
        </is>
      </c>
      <c r="C298" t="inlineStr">
        <is>
          <t>OSMO vzorek tester</t>
        </is>
      </c>
      <c r="D298" t="inlineStr">
        <is>
          <t>9783598215100</t>
        </is>
      </c>
      <c r="E298" t="n">
        <v>49</v>
      </c>
      <c r="F298" t="n">
        <v>7</v>
      </c>
      <c r="G298" t="n">
        <v>0</v>
      </c>
      <c r="H298" t="n">
        <v>3.5</v>
      </c>
      <c r="I298" t="n">
        <v>130</v>
      </c>
      <c r="J298" t="n">
        <v>36</v>
      </c>
      <c r="K298" t="n">
        <v>690</v>
      </c>
      <c r="L298" t="inlineStr">
        <is>
          <t>PROZK s.r.o.</t>
        </is>
      </c>
      <c r="M298" t="inlineStr">
        <is>
          <t>Drogerie/Technické/Osmo</t>
        </is>
      </c>
    </row>
    <row r="299">
      <c r="A299" t="inlineStr">
        <is>
          <t>ne</t>
        </is>
      </c>
      <c r="B299" t="inlineStr">
        <is>
          <t>Nátěrové hmoty (barvy, laky, lazury)</t>
        </is>
      </c>
      <c r="C299" t="inlineStr">
        <is>
          <t xml:space="preserve">Body tužidlo do tmelů 20 gr </t>
        </is>
      </c>
      <c r="D299" t="inlineStr">
        <is>
          <t>8003340096308</t>
        </is>
      </c>
      <c r="E299" t="n">
        <v>39</v>
      </c>
      <c r="F299" t="n">
        <v>6</v>
      </c>
      <c r="G299" t="n">
        <v>1</v>
      </c>
      <c r="H299" t="n">
        <v>3.5</v>
      </c>
      <c r="I299" t="n">
        <v>111</v>
      </c>
      <c r="J299" t="n">
        <v>140</v>
      </c>
      <c r="K299" t="n">
        <v>0</v>
      </c>
      <c r="L299" t="inlineStr">
        <is>
          <t>BODY COLOR, s.r.o.</t>
        </is>
      </c>
      <c r="M299" t="inlineStr">
        <is>
          <t>Drogerie/Technické/BODY</t>
        </is>
      </c>
    </row>
    <row r="300">
      <c r="A300" t="inlineStr">
        <is>
          <t>ne</t>
        </is>
      </c>
      <c r="B300" t="inlineStr">
        <is>
          <t>Nátěrové hmoty (barvy, laky, lazury)</t>
        </is>
      </c>
      <c r="C300" t="inlineStr">
        <is>
          <t xml:space="preserve"> Syntetika vrchní email. universální 0,6L 1110</t>
        </is>
      </c>
      <c r="D300" t="inlineStr">
        <is>
          <t>8581100340361</t>
        </is>
      </c>
      <c r="E300" t="n">
        <v>229</v>
      </c>
      <c r="F300" t="n">
        <v>7</v>
      </c>
      <c r="G300" t="n">
        <v>0</v>
      </c>
      <c r="H300" t="n">
        <v>3.5</v>
      </c>
      <c r="I300" t="n">
        <v>662</v>
      </c>
      <c r="J300" t="n">
        <v>58</v>
      </c>
      <c r="K300" t="n">
        <v>2</v>
      </c>
      <c r="L300" t="inlineStr">
        <is>
          <t>CHEMOLAK TRADE, spol. s r.o.</t>
        </is>
      </c>
      <c r="M300" t="inlineStr">
        <is>
          <t>Drogerie/Technické/Chemolak</t>
        </is>
      </c>
    </row>
    <row r="301">
      <c r="A301" t="inlineStr">
        <is>
          <t>ne</t>
        </is>
      </c>
      <c r="B301" t="inlineStr">
        <is>
          <t>Nátěrové hmoty (barvy, laky, lazury)</t>
        </is>
      </c>
      <c r="C301" t="inlineStr">
        <is>
          <t>Komaprim 3v1 báze extra deep 2,5L</t>
        </is>
      </c>
      <c r="D301" t="inlineStr">
        <is>
          <t>8590627995077</t>
        </is>
      </c>
      <c r="E301" t="n">
        <v>1</v>
      </c>
      <c r="F301" t="n">
        <v>3</v>
      </c>
      <c r="G301" t="n">
        <v>4</v>
      </c>
      <c r="H301" t="n">
        <v>3.5</v>
      </c>
      <c r="I301" t="n">
        <v>4436</v>
      </c>
      <c r="J301" t="n">
        <v>-100</v>
      </c>
      <c r="K301" t="n">
        <v>2</v>
      </c>
      <c r="L301" t="inlineStr">
        <is>
          <t>Akzo Nobel Coatings CZ, a.s.</t>
        </is>
      </c>
      <c r="M301" t="inlineStr">
        <is>
          <t>Drogerie/Technické/Akzo/Míchačka</t>
        </is>
      </c>
    </row>
    <row r="302">
      <c r="A302" t="inlineStr">
        <is>
          <t>ne</t>
        </is>
      </c>
      <c r="B302" t="inlineStr">
        <is>
          <t>Nátěrové hmoty (barvy, laky, lazury)</t>
        </is>
      </c>
      <c r="C302" t="inlineStr">
        <is>
          <t>Dulux classic select woodstain 4,5l</t>
        </is>
      </c>
      <c r="D302" t="inlineStr">
        <is>
          <t>8590627994667</t>
        </is>
      </c>
      <c r="E302" t="n">
        <v>1</v>
      </c>
      <c r="F302" t="n">
        <v>2</v>
      </c>
      <c r="G302" t="n">
        <v>4</v>
      </c>
      <c r="H302" t="n">
        <v>3</v>
      </c>
      <c r="I302" t="n">
        <v>5189</v>
      </c>
      <c r="J302" t="n">
        <v>-100</v>
      </c>
      <c r="K302" t="n">
        <v>6</v>
      </c>
      <c r="L302" t="inlineStr">
        <is>
          <t>Akzo Nobel Coatings CZ, a.s.</t>
        </is>
      </c>
      <c r="M302" t="inlineStr">
        <is>
          <t>Drogerie/Technické/Akzo/Míchačka</t>
        </is>
      </c>
    </row>
    <row r="303">
      <c r="A303" t="inlineStr">
        <is>
          <t>ne</t>
        </is>
      </c>
      <c r="B303" t="inlineStr">
        <is>
          <t>Nátěrové hmoty (barvy, laky, lazury)</t>
        </is>
      </c>
      <c r="C303" t="inlineStr">
        <is>
          <t>Luxol ORIGINÁL 0,75L palisandr</t>
        </is>
      </c>
      <c r="D303" t="inlineStr">
        <is>
          <t>5903525485589</t>
        </is>
      </c>
      <c r="E303" t="n">
        <v>199</v>
      </c>
      <c r="F303" t="n">
        <v>2</v>
      </c>
      <c r="G303" t="n">
        <v>4</v>
      </c>
      <c r="H303" t="n">
        <v>3</v>
      </c>
      <c r="I303" t="n">
        <v>492</v>
      </c>
      <c r="J303" t="n">
        <v>50</v>
      </c>
      <c r="K303" t="n">
        <v>11</v>
      </c>
      <c r="L303" t="inlineStr">
        <is>
          <t>Akzo Nobel Coatings CZ, a.s.</t>
        </is>
      </c>
      <c r="M303" t="inlineStr">
        <is>
          <t>Drogerie/Technické/Akzo/Hotové/Luxol</t>
        </is>
      </c>
    </row>
    <row r="304">
      <c r="A304" t="inlineStr">
        <is>
          <t>ne</t>
        </is>
      </c>
      <c r="B304" t="inlineStr">
        <is>
          <t>Osobní kosmetika</t>
        </is>
      </c>
      <c r="C304" t="inlineStr">
        <is>
          <t>Alpa francovka 160 ml</t>
        </is>
      </c>
      <c r="D304" t="inlineStr">
        <is>
          <t>85911093</t>
        </is>
      </c>
      <c r="E304" t="n">
        <v>54</v>
      </c>
      <c r="F304" t="n">
        <v>4</v>
      </c>
      <c r="G304" t="n">
        <v>2</v>
      </c>
      <c r="H304" t="n">
        <v>3</v>
      </c>
      <c r="I304" t="n">
        <v>130</v>
      </c>
      <c r="J304" t="n">
        <v>48</v>
      </c>
      <c r="K304" t="n">
        <v>5</v>
      </c>
      <c r="L304" t="inlineStr">
        <is>
          <t>Solvent ČR s.r.o.</t>
        </is>
      </c>
      <c r="M304" t="inlineStr">
        <is>
          <t>Drogerie/Drogerie/PKS</t>
        </is>
      </c>
    </row>
    <row r="305">
      <c r="A305" t="inlineStr">
        <is>
          <t>ne</t>
        </is>
      </c>
      <c r="B305" t="inlineStr">
        <is>
          <t>Spreje</t>
        </is>
      </c>
      <c r="C305" t="inlineStr">
        <is>
          <t xml:space="preserve">EFEKT FLUO-oranžová </t>
        </is>
      </c>
      <c r="D305" t="inlineStr">
        <is>
          <t>8595642501005</t>
        </is>
      </c>
      <c r="E305" t="n">
        <v>215</v>
      </c>
      <c r="F305" t="n">
        <v>0</v>
      </c>
      <c r="G305" t="n">
        <v>36</v>
      </c>
      <c r="H305" t="n">
        <v>18</v>
      </c>
      <c r="I305" t="n">
        <v>2879</v>
      </c>
      <c r="J305" t="n">
        <v>72</v>
      </c>
      <c r="K305" t="n">
        <v>0</v>
      </c>
      <c r="L305" t="inlineStr">
        <is>
          <t>PRO-TECH aerosol s.r.o.</t>
        </is>
      </c>
      <c r="M305" t="inlineStr">
        <is>
          <t>Drogerie/Technické/PROTECH spreje</t>
        </is>
      </c>
    </row>
    <row r="306">
      <c r="A306" t="inlineStr">
        <is>
          <t>ne</t>
        </is>
      </c>
      <c r="B306" t="inlineStr">
        <is>
          <t>Spreje</t>
        </is>
      </c>
      <c r="C306" t="inlineStr">
        <is>
          <t>Prisma Sprej RAL 9005</t>
        </is>
      </c>
      <c r="D306" t="inlineStr">
        <is>
          <t>9002588910024</t>
        </is>
      </c>
      <c r="E306" t="n">
        <v>119</v>
      </c>
      <c r="F306" t="n">
        <v>4</v>
      </c>
      <c r="G306" t="n">
        <v>7</v>
      </c>
      <c r="H306" t="n">
        <v>5.5</v>
      </c>
      <c r="I306" t="n">
        <v>524</v>
      </c>
      <c r="J306" t="n">
        <v>59</v>
      </c>
      <c r="K306" t="n">
        <v>6</v>
      </c>
      <c r="L306" t="inlineStr">
        <is>
          <t>Schuller Eh'klar s.r.o.</t>
        </is>
      </c>
      <c r="M306" t="inlineStr">
        <is>
          <t>Drogerie/Technické/Schuller</t>
        </is>
      </c>
    </row>
    <row r="307">
      <c r="A307" t="inlineStr">
        <is>
          <t>ne</t>
        </is>
      </c>
      <c r="B307" t="inlineStr">
        <is>
          <t>Spreje</t>
        </is>
      </c>
      <c r="C307" t="inlineStr">
        <is>
          <t>Prisma Sprej RAL 9005 mat</t>
        </is>
      </c>
      <c r="D307" t="inlineStr">
        <is>
          <t>9002588910048</t>
        </is>
      </c>
      <c r="E307" t="n">
        <v>119</v>
      </c>
      <c r="F307" t="n">
        <v>4</v>
      </c>
      <c r="G307" t="n">
        <v>7</v>
      </c>
      <c r="H307" t="n">
        <v>5.5</v>
      </c>
      <c r="I307" t="n">
        <v>531</v>
      </c>
      <c r="J307" t="n">
        <v>59</v>
      </c>
      <c r="K307" t="n">
        <v>4</v>
      </c>
      <c r="L307" t="inlineStr">
        <is>
          <t>Schuller Eh'klar s.r.o.</t>
        </is>
      </c>
      <c r="M307" t="inlineStr">
        <is>
          <t>Drogerie/Technické/Schuller</t>
        </is>
      </c>
    </row>
    <row r="308">
      <c r="A308" t="inlineStr">
        <is>
          <t>ne</t>
        </is>
      </c>
      <c r="B308" t="inlineStr">
        <is>
          <t>Spreje</t>
        </is>
      </c>
      <c r="C308" t="inlineStr">
        <is>
          <t>Motip ACRYL PROFI 600ml černá matná</t>
        </is>
      </c>
      <c r="D308" t="inlineStr">
        <is>
          <t>8711347231089</t>
        </is>
      </c>
      <c r="E308" t="n">
        <v>249</v>
      </c>
      <c r="F308" t="n">
        <v>3</v>
      </c>
      <c r="G308" t="n">
        <v>6</v>
      </c>
      <c r="H308" t="n">
        <v>4.5</v>
      </c>
      <c r="I308" t="n">
        <v>926</v>
      </c>
      <c r="J308" t="n">
        <v>73</v>
      </c>
      <c r="K308" t="n">
        <v>2</v>
      </c>
      <c r="L308" t="inlineStr">
        <is>
          <t>PROZK s.r.o.</t>
        </is>
      </c>
      <c r="M308" t="inlineStr">
        <is>
          <t>Drogerie/Technické/Motip</t>
        </is>
      </c>
    </row>
    <row r="309">
      <c r="A309" t="inlineStr">
        <is>
          <t>ne</t>
        </is>
      </c>
      <c r="B309" t="inlineStr">
        <is>
          <t>Spreje</t>
        </is>
      </c>
      <c r="C309" t="inlineStr">
        <is>
          <t>Prisma sprej  Zink ALU</t>
        </is>
      </c>
      <c r="D309" t="inlineStr">
        <is>
          <t>9002588910703</t>
        </is>
      </c>
      <c r="E309" t="n">
        <v>189</v>
      </c>
      <c r="F309" t="n">
        <v>7</v>
      </c>
      <c r="G309" t="n">
        <v>1</v>
      </c>
      <c r="H309" t="n">
        <v>4</v>
      </c>
      <c r="I309" t="n">
        <v>617</v>
      </c>
      <c r="J309" t="n">
        <v>58</v>
      </c>
      <c r="K309" t="n">
        <v>8</v>
      </c>
      <c r="L309" t="inlineStr">
        <is>
          <t>Schuller Eh'klar s.r.o.</t>
        </is>
      </c>
      <c r="M309" t="inlineStr">
        <is>
          <t>Drogerie/Technické/Schuller</t>
        </is>
      </c>
    </row>
    <row r="310">
      <c r="A310" t="inlineStr">
        <is>
          <t>ne</t>
        </is>
      </c>
      <c r="B310" t="inlineStr">
        <is>
          <t>Spreje</t>
        </is>
      </c>
      <c r="C310" t="inlineStr">
        <is>
          <t>Motip ACRYL PROFI 600ml černá lesklá</t>
        </is>
      </c>
      <c r="D310" t="inlineStr">
        <is>
          <t>8711347231065</t>
        </is>
      </c>
      <c r="E310" t="n">
        <v>249</v>
      </c>
      <c r="F310" t="n">
        <v>1</v>
      </c>
      <c r="G310" t="n">
        <v>6</v>
      </c>
      <c r="H310" t="n">
        <v>3.5</v>
      </c>
      <c r="I310" t="n">
        <v>720</v>
      </c>
      <c r="J310" t="n">
        <v>62</v>
      </c>
      <c r="K310" t="n">
        <v>3</v>
      </c>
      <c r="L310" t="inlineStr">
        <is>
          <t>PROZK s.r.o.</t>
        </is>
      </c>
      <c r="M310" t="inlineStr">
        <is>
          <t>Drogerie/Technické/Motip</t>
        </is>
      </c>
    </row>
    <row r="311">
      <c r="A311" t="inlineStr">
        <is>
          <t>ne</t>
        </is>
      </c>
      <c r="B311" t="inlineStr">
        <is>
          <t>Spreje</t>
        </is>
      </c>
      <c r="C311" t="inlineStr">
        <is>
          <t>Prisma sprej odolný do 600 C černý</t>
        </is>
      </c>
      <c r="D311" t="inlineStr">
        <is>
          <t>9002588910734</t>
        </is>
      </c>
      <c r="E311" t="n">
        <v>196</v>
      </c>
      <c r="F311" t="n">
        <v>1</v>
      </c>
      <c r="G311" t="n">
        <v>5</v>
      </c>
      <c r="H311" t="n">
        <v>3</v>
      </c>
      <c r="I311" t="n">
        <v>486</v>
      </c>
      <c r="J311" t="n">
        <v>64</v>
      </c>
      <c r="K311" t="n">
        <v>4</v>
      </c>
      <c r="L311" t="inlineStr">
        <is>
          <t>Schuller Eh'klar s.r.o.</t>
        </is>
      </c>
      <c r="M311" t="inlineStr">
        <is>
          <t>Drogerie/Technické/Schuller</t>
        </is>
      </c>
    </row>
    <row r="312">
      <c r="A312" t="inlineStr">
        <is>
          <t>ne</t>
        </is>
      </c>
      <c r="B312" t="inlineStr">
        <is>
          <t>Spreje</t>
        </is>
      </c>
      <c r="C312" t="inlineStr">
        <is>
          <t>Prisma Sprej RAL 9010 Mat</t>
        </is>
      </c>
      <c r="D312" t="inlineStr">
        <is>
          <t>9002588910031</t>
        </is>
      </c>
      <c r="E312" t="n">
        <v>118.9</v>
      </c>
      <c r="F312" t="n">
        <v>2</v>
      </c>
      <c r="G312" t="n">
        <v>4</v>
      </c>
      <c r="H312" t="n">
        <v>3</v>
      </c>
      <c r="I312" t="n">
        <v>287</v>
      </c>
      <c r="J312" t="n">
        <v>59</v>
      </c>
      <c r="K312" t="n">
        <v>2</v>
      </c>
      <c r="L312" t="inlineStr">
        <is>
          <t>Schuller Eh'klar s.r.o.</t>
        </is>
      </c>
      <c r="M312" t="inlineStr">
        <is>
          <t>Drogerie/Technické/Schuller</t>
        </is>
      </c>
    </row>
    <row r="313">
      <c r="A313" t="inlineStr">
        <is>
          <t>ne</t>
        </is>
      </c>
      <c r="B313" t="inlineStr">
        <is>
          <t>Stavební chemie a sádra</t>
        </is>
      </c>
      <c r="C313" t="inlineStr">
        <is>
          <t>SÁDRA BÍLÁ 3KG</t>
        </is>
      </c>
      <c r="D313" t="inlineStr">
        <is>
          <t>8595030530020</t>
        </is>
      </c>
      <c r="E313" t="n">
        <v>67</v>
      </c>
      <c r="F313" t="n">
        <v>7</v>
      </c>
      <c r="G313" t="n">
        <v>7</v>
      </c>
      <c r="H313" t="n">
        <v>7</v>
      </c>
      <c r="I313" t="n">
        <v>388</v>
      </c>
      <c r="J313" t="n">
        <v>55</v>
      </c>
      <c r="K313" t="n">
        <v>11</v>
      </c>
      <c r="L313" t="inlineStr">
        <is>
          <t>Solvent ČR s.r.o.</t>
        </is>
      </c>
      <c r="M313" t="inlineStr">
        <is>
          <t>Drogerie/Technické/PKS</t>
        </is>
      </c>
    </row>
    <row r="314">
      <c r="A314" t="inlineStr">
        <is>
          <t>ne</t>
        </is>
      </c>
      <c r="B314" t="inlineStr">
        <is>
          <t>Stavební chemie a sádra</t>
        </is>
      </c>
      <c r="C314" t="inlineStr">
        <is>
          <t>SÁDRA ŠEDÁ 3KG</t>
        </is>
      </c>
      <c r="D314" t="inlineStr">
        <is>
          <t>8595030530044</t>
        </is>
      </c>
      <c r="E314" t="n">
        <v>68</v>
      </c>
      <c r="F314" t="n">
        <v>4</v>
      </c>
      <c r="G314" t="n">
        <v>5</v>
      </c>
      <c r="H314" t="n">
        <v>4.5</v>
      </c>
      <c r="I314" t="n">
        <v>247</v>
      </c>
      <c r="J314" t="n">
        <v>59</v>
      </c>
      <c r="K314" t="n">
        <v>9</v>
      </c>
      <c r="L314" t="inlineStr">
        <is>
          <t>Solvent ČR s.r.o.</t>
        </is>
      </c>
      <c r="M314" t="inlineStr">
        <is>
          <t>Drogerie/Technické/PKS</t>
        </is>
      </c>
    </row>
    <row r="315">
      <c r="A315" t="inlineStr">
        <is>
          <t>ne</t>
        </is>
      </c>
      <c r="B315" t="inlineStr">
        <is>
          <t>Stavební chemie a sádra</t>
        </is>
      </c>
      <c r="C315" t="inlineStr">
        <is>
          <t>Jádrová omítka 2mm 25kg</t>
        </is>
      </c>
      <c r="D315" t="inlineStr">
        <is>
          <t>8595100155405</t>
        </is>
      </c>
      <c r="E315" t="n">
        <v>155</v>
      </c>
      <c r="F315" t="n">
        <v>0</v>
      </c>
      <c r="G315" t="n">
        <v>9</v>
      </c>
      <c r="H315" t="n">
        <v>4.5</v>
      </c>
      <c r="I315" t="n">
        <v>536</v>
      </c>
      <c r="J315" t="n">
        <v>51</v>
      </c>
      <c r="K315" t="n">
        <v>0</v>
      </c>
      <c r="L315" t="inlineStr">
        <is>
          <t>Den Braven Czech and Slovak a.s.</t>
        </is>
      </c>
      <c r="M315" t="inlineStr">
        <is>
          <t>Drogerie/Technické/DEN BRAVEN</t>
        </is>
      </c>
    </row>
    <row r="316">
      <c r="A316" t="inlineStr">
        <is>
          <t>ne</t>
        </is>
      </c>
      <c r="B316" t="inlineStr">
        <is>
          <t>Stavební chemie a sádra</t>
        </is>
      </c>
      <c r="C316" t="inlineStr">
        <is>
          <t>Lepící a stěrkový tmel FASÁDA UNI 25kg</t>
        </is>
      </c>
      <c r="D316" t="inlineStr">
        <is>
          <t>8595100144676</t>
        </is>
      </c>
      <c r="E316" t="n">
        <v>229</v>
      </c>
      <c r="F316" t="n">
        <v>8</v>
      </c>
      <c r="G316" t="n">
        <v>0</v>
      </c>
      <c r="H316" t="n">
        <v>4</v>
      </c>
      <c r="I316" t="n">
        <v>757</v>
      </c>
      <c r="J316" t="n">
        <v>61</v>
      </c>
      <c r="K316" t="n">
        <v>0</v>
      </c>
      <c r="L316" t="inlineStr">
        <is>
          <t>Den Braven Czech and Slovak a.s.</t>
        </is>
      </c>
      <c r="M316" t="inlineStr">
        <is>
          <t>Drogerie/Technické/DEN BRAVEN</t>
        </is>
      </c>
    </row>
    <row r="317">
      <c r="A317" t="inlineStr">
        <is>
          <t>ne</t>
        </is>
      </c>
      <c r="B317" t="inlineStr">
        <is>
          <t>Stavební chemie a sádra</t>
        </is>
      </c>
      <c r="C317" t="inlineStr">
        <is>
          <t>Sádra bílá 1 kg modelářská Kittfort</t>
        </is>
      </c>
      <c r="D317" t="inlineStr">
        <is>
          <t>8595030530013</t>
        </is>
      </c>
      <c r="E317" t="n">
        <v>25</v>
      </c>
      <c r="F317" t="n">
        <v>1</v>
      </c>
      <c r="G317" t="n">
        <v>5</v>
      </c>
      <c r="H317" t="n">
        <v>3</v>
      </c>
      <c r="I317" t="n">
        <v>62</v>
      </c>
      <c r="J317" t="n">
        <v>85</v>
      </c>
      <c r="K317" t="n">
        <v>5</v>
      </c>
      <c r="L317" t="inlineStr">
        <is>
          <t>Solvent ČR s.r.o.</t>
        </is>
      </c>
      <c r="M317" t="inlineStr">
        <is>
          <t>Drogerie/Technické/PKS</t>
        </is>
      </c>
    </row>
    <row r="318">
      <c r="A318" t="inlineStr">
        <is>
          <t>podmíněně</t>
        </is>
      </c>
      <c r="B318" t="inlineStr">
        <is>
          <t>Domácnost (šňůry, kolíčky, věšáky, garnýže)</t>
        </is>
      </c>
      <c r="C318" t="inlineStr">
        <is>
          <t>Skřipec záclonový PH BÍ 477308</t>
        </is>
      </c>
      <c r="D318" t="inlineStr">
        <is>
          <t>8588002717376</t>
        </is>
      </c>
      <c r="E318" t="n">
        <v>6</v>
      </c>
      <c r="F318" t="n">
        <v>44</v>
      </c>
      <c r="G318" t="n">
        <v>0</v>
      </c>
      <c r="H318" t="n">
        <v>22</v>
      </c>
      <c r="I318" t="n">
        <v>109</v>
      </c>
      <c r="J318" t="n">
        <v>73</v>
      </c>
      <c r="K318" t="n">
        <v>0</v>
      </c>
      <c r="L318" t="inlineStr">
        <is>
          <t>M.A.T. Group, s.r.o.</t>
        </is>
      </c>
      <c r="M318" t="inlineStr">
        <is>
          <t>Drogerie/Drogerie/MAT</t>
        </is>
      </c>
    </row>
    <row r="319">
      <c r="A319" t="inlineStr">
        <is>
          <t>podmíněně</t>
        </is>
      </c>
      <c r="B319" t="inlineStr">
        <is>
          <t>Domácnost (šňůry, kolíčky, věšáky, garnýže)</t>
        </is>
      </c>
      <c r="C319" t="inlineStr">
        <is>
          <t xml:space="preserve">Vědro stavební 12l </t>
        </is>
      </c>
      <c r="D319" t="inlineStr">
        <is>
          <t>8594057660789</t>
        </is>
      </c>
      <c r="E319" t="n">
        <v>49</v>
      </c>
      <c r="F319" t="n">
        <v>0</v>
      </c>
      <c r="G319" t="n">
        <v>11</v>
      </c>
      <c r="H319" t="n">
        <v>5.5</v>
      </c>
      <c r="I319" t="n">
        <v>223</v>
      </c>
      <c r="J319" t="n">
        <v>118</v>
      </c>
      <c r="K319" t="n">
        <v>5</v>
      </c>
      <c r="L319" t="inlineStr">
        <is>
          <t>FILÁK ŠENOV s.r.o.</t>
        </is>
      </c>
      <c r="M319" t="inlineStr">
        <is>
          <t>Drogerie/Technické/Filák</t>
        </is>
      </c>
    </row>
    <row r="320">
      <c r="A320" t="inlineStr">
        <is>
          <t>podmíněně</t>
        </is>
      </c>
      <c r="B320" t="inlineStr">
        <is>
          <t>Domácnost (šňůry, kolíčky, věšáky, garnýže)</t>
        </is>
      </c>
      <c r="C320" t="inlineStr">
        <is>
          <t>Věšák Romana 2, 30x 50mm Cr</t>
        </is>
      </c>
      <c r="D320" t="inlineStr">
        <is>
          <t>8595105601396</t>
        </is>
      </c>
      <c r="E320" t="n">
        <v>65</v>
      </c>
      <c r="F320" t="n">
        <v>10</v>
      </c>
      <c r="G320" t="n">
        <v>0</v>
      </c>
      <c r="H320" t="n">
        <v>5</v>
      </c>
      <c r="I320" t="n">
        <v>227</v>
      </c>
      <c r="J320" t="n">
        <v>50</v>
      </c>
      <c r="K320" t="n">
        <v>10</v>
      </c>
      <c r="L320" t="inlineStr">
        <is>
          <t>M.A.T. Group, s.r.o.</t>
        </is>
      </c>
      <c r="M320" t="inlineStr">
        <is>
          <t>Drogerie/Drogerie/MAT</t>
        </is>
      </c>
    </row>
    <row r="321">
      <c r="A321" t="inlineStr">
        <is>
          <t>podmíněně</t>
        </is>
      </c>
      <c r="B321" t="inlineStr">
        <is>
          <t>Domácnost (šňůry, kolíčky, věšáky, garnýže)</t>
        </is>
      </c>
      <c r="C321" t="inlineStr">
        <is>
          <t>Věšák ROMERO II. 30x32mm Cr</t>
        </is>
      </c>
      <c r="D321" t="inlineStr">
        <is>
          <t>8595105604892</t>
        </is>
      </c>
      <c r="E321" t="n">
        <v>60</v>
      </c>
      <c r="F321" t="n">
        <v>9</v>
      </c>
      <c r="G321" t="n">
        <v>0</v>
      </c>
      <c r="H321" t="n">
        <v>4.5</v>
      </c>
      <c r="I321" t="n">
        <v>190</v>
      </c>
      <c r="J321" t="n">
        <v>54</v>
      </c>
      <c r="K321" t="n">
        <v>10</v>
      </c>
      <c r="L321" t="inlineStr">
        <is>
          <t>M.A.T. Group, s.r.o.</t>
        </is>
      </c>
      <c r="M321" t="inlineStr">
        <is>
          <t>Drogerie/Drogerie/MAT</t>
        </is>
      </c>
    </row>
    <row r="322">
      <c r="A322" t="inlineStr">
        <is>
          <t>podmíněně</t>
        </is>
      </c>
      <c r="B322" t="inlineStr">
        <is>
          <t>Domácnost (šňůry, kolíčky, věšáky, garnýže)</t>
        </is>
      </c>
      <c r="C322" t="inlineStr">
        <is>
          <t>Háček PH BÍ</t>
        </is>
      </c>
      <c r="D322" t="inlineStr">
        <is>
          <t>8590862053006</t>
        </is>
      </c>
      <c r="E322" t="n">
        <v>3</v>
      </c>
      <c r="F322" t="n">
        <v>0</v>
      </c>
      <c r="G322" t="n">
        <v>7</v>
      </c>
      <c r="H322" t="n">
        <v>3.5</v>
      </c>
      <c r="I322" t="n">
        <v>9</v>
      </c>
      <c r="J322" t="n">
        <v>500</v>
      </c>
      <c r="K322" t="n">
        <v>61</v>
      </c>
      <c r="L322" t="inlineStr">
        <is>
          <t>M.A.T. Group, s.r.o.</t>
        </is>
      </c>
      <c r="M322" t="inlineStr">
        <is>
          <t>Drogerie/Drogerie/MAT</t>
        </is>
      </c>
    </row>
    <row r="323">
      <c r="A323" t="inlineStr">
        <is>
          <t>podmíněně</t>
        </is>
      </c>
      <c r="B323" t="inlineStr">
        <is>
          <t>Domácnost (šňůry, kolíčky, věšáky, garnýže)</t>
        </is>
      </c>
      <c r="C323" t="inlineStr">
        <is>
          <t>Sklapka magnetická 038 HN 523781</t>
        </is>
      </c>
      <c r="D323" t="inlineStr">
        <is>
          <t>8590419526915</t>
        </is>
      </c>
      <c r="E323" t="n">
        <v>15</v>
      </c>
      <c r="F323" t="n">
        <v>1</v>
      </c>
      <c r="G323" t="n">
        <v>6</v>
      </c>
      <c r="H323" t="n">
        <v>3.5</v>
      </c>
      <c r="I323" t="n">
        <v>43</v>
      </c>
      <c r="J323" t="n">
        <v>191</v>
      </c>
      <c r="K323" t="n">
        <v>18</v>
      </c>
      <c r="L323" t="inlineStr">
        <is>
          <t>M.A.T. Group, s.r.o.</t>
        </is>
      </c>
      <c r="M323" t="inlineStr">
        <is>
          <t>Drogerie/Drogerie/MAT</t>
        </is>
      </c>
    </row>
    <row r="324">
      <c r="A324" t="inlineStr">
        <is>
          <t>podmíněně</t>
        </is>
      </c>
      <c r="B324" t="inlineStr">
        <is>
          <t>Domácnost (šňůry, kolíčky, věšáky, garnýže)</t>
        </is>
      </c>
      <c r="C324" t="inlineStr">
        <is>
          <t>Magnet 850/26mm, ČER (12 ks)</t>
        </is>
      </c>
      <c r="D324" t="inlineStr">
        <is>
          <t>8595004301977</t>
        </is>
      </c>
      <c r="E324" t="n">
        <v>109</v>
      </c>
      <c r="F324" t="n">
        <v>1</v>
      </c>
      <c r="G324" t="n">
        <v>6</v>
      </c>
      <c r="H324" t="n">
        <v>3.5</v>
      </c>
      <c r="I324" t="n">
        <v>288</v>
      </c>
      <c r="J324" t="n">
        <v>65</v>
      </c>
      <c r="K324" t="n">
        <v>0</v>
      </c>
      <c r="L324" t="inlineStr">
        <is>
          <t>M.A.T. Group, s.r.o.</t>
        </is>
      </c>
      <c r="M324" t="inlineStr">
        <is>
          <t>Drogerie/Drogerie/MAT</t>
        </is>
      </c>
    </row>
    <row r="325">
      <c r="A325" t="inlineStr">
        <is>
          <t>podmíněně</t>
        </is>
      </c>
      <c r="B325" t="inlineStr">
        <is>
          <t>Domácnost (šňůry, kolíčky, věšáky, garnýže)</t>
        </is>
      </c>
      <c r="C325" t="inlineStr">
        <is>
          <t>vodiaci silon žaluzie</t>
        </is>
      </c>
      <c r="D325" t="inlineStr">
        <is>
          <t>8584177000053</t>
        </is>
      </c>
      <c r="E325" t="n">
        <v>55</v>
      </c>
      <c r="F325" t="n">
        <v>3</v>
      </c>
      <c r="G325" t="n">
        <v>4</v>
      </c>
      <c r="H325" t="n">
        <v>3.5</v>
      </c>
      <c r="I325" t="n">
        <v>159</v>
      </c>
      <c r="J325" t="n">
        <v>44</v>
      </c>
      <c r="K325" t="n">
        <v>15</v>
      </c>
      <c r="L325" t="inlineStr">
        <is>
          <t>Spájáme, s.r.o.</t>
        </is>
      </c>
      <c r="M325" t="inlineStr">
        <is>
          <t>Drogerie/žaluzie</t>
        </is>
      </c>
    </row>
    <row r="326">
      <c r="A326" t="inlineStr">
        <is>
          <t>podmíněně</t>
        </is>
      </c>
      <c r="B326" t="inlineStr">
        <is>
          <t>Domácnost (šňůry, kolíčky, věšáky, garnýže)</t>
        </is>
      </c>
      <c r="C326" t="inlineStr">
        <is>
          <t>magnety 10ks</t>
        </is>
      </c>
      <c r="D326" t="inlineStr">
        <is>
          <t>8595097818673</t>
        </is>
      </c>
      <c r="E326" t="n">
        <v>50.5</v>
      </c>
      <c r="F326" t="n">
        <v>1</v>
      </c>
      <c r="G326" t="n">
        <v>5</v>
      </c>
      <c r="H326" t="n">
        <v>3</v>
      </c>
      <c r="I326" t="n">
        <v>116</v>
      </c>
      <c r="J326" t="n">
        <v>166</v>
      </c>
      <c r="K326" t="n">
        <v>9</v>
      </c>
      <c r="L326" t="inlineStr">
        <is>
          <t>JHPAP s.r.o.</t>
        </is>
      </c>
      <c r="M326" t="inlineStr">
        <is>
          <t>Drogerie/Drogerie/JHPAP</t>
        </is>
      </c>
    </row>
    <row r="327">
      <c r="A327" t="inlineStr">
        <is>
          <t>podmíněně</t>
        </is>
      </c>
      <c r="B327" t="inlineStr">
        <is>
          <t>Domácnost (šňůry, kolíčky, věšáky, garnýže)</t>
        </is>
      </c>
      <c r="C327" t="inlineStr">
        <is>
          <t>Magnet do skříněk</t>
        </is>
      </c>
      <c r="D327" t="inlineStr">
        <is>
          <t>8590419478573</t>
        </is>
      </c>
      <c r="E327" t="n">
        <v>29</v>
      </c>
      <c r="F327" t="n">
        <v>6</v>
      </c>
      <c r="G327" t="n">
        <v>0</v>
      </c>
      <c r="H327" t="n">
        <v>3</v>
      </c>
      <c r="I327" t="n">
        <v>70</v>
      </c>
      <c r="J327" t="n">
        <v>46</v>
      </c>
      <c r="K327" t="n">
        <v>7</v>
      </c>
      <c r="L327" t="inlineStr">
        <is>
          <t>M.A.T. Group, s.r.o.</t>
        </is>
      </c>
      <c r="M327" t="inlineStr">
        <is>
          <t>Drogerie/Drogerie/MAT</t>
        </is>
      </c>
    </row>
    <row r="328">
      <c r="A328" t="inlineStr">
        <is>
          <t>podmíněně</t>
        </is>
      </c>
      <c r="B328" t="inlineStr">
        <is>
          <t>Domácnost (šňůry, kolíčky, věšáky, garnýže)</t>
        </is>
      </c>
      <c r="C328" t="inlineStr">
        <is>
          <t>ovládacia stuha žalúzie biela</t>
        </is>
      </c>
      <c r="D328" t="inlineStr">
        <is>
          <t>8584177000183</t>
        </is>
      </c>
      <c r="E328" t="n">
        <v>55</v>
      </c>
      <c r="F328" t="n">
        <v>0</v>
      </c>
      <c r="G328" t="n">
        <v>6</v>
      </c>
      <c r="H328" t="n">
        <v>3</v>
      </c>
      <c r="I328" t="n">
        <v>136</v>
      </c>
      <c r="J328" t="n">
        <v>68</v>
      </c>
      <c r="K328" t="n">
        <v>22</v>
      </c>
      <c r="L328" t="inlineStr">
        <is>
          <t>Spájáme, s.r.o.</t>
        </is>
      </c>
      <c r="M328" t="inlineStr">
        <is>
          <t>Drogerie/žaluzie</t>
        </is>
      </c>
    </row>
    <row r="329">
      <c r="A329" t="inlineStr">
        <is>
          <t>podmíněně</t>
        </is>
      </c>
      <c r="B329" t="inlineStr">
        <is>
          <t>Domácí zavařování a uzení</t>
        </is>
      </c>
      <c r="C329" t="inlineStr">
        <is>
          <t>Tlač.střeva 550x130 mm</t>
        </is>
      </c>
      <c r="D329" t="inlineStr">
        <is>
          <t>8594179601455</t>
        </is>
      </c>
      <c r="E329" t="n">
        <v>32</v>
      </c>
      <c r="F329" t="n">
        <v>5</v>
      </c>
      <c r="G329" t="n">
        <v>5</v>
      </c>
      <c r="H329" t="n">
        <v>5</v>
      </c>
      <c r="I329" t="n">
        <v>130</v>
      </c>
      <c r="J329" t="n">
        <v>53</v>
      </c>
      <c r="K329" t="n">
        <v>8</v>
      </c>
      <c r="L329" t="inlineStr">
        <is>
          <t>Restart Company s.r.o.</t>
        </is>
      </c>
      <c r="M329" t="inlineStr">
        <is>
          <t>Drogerie/Drogerie/Restart</t>
        </is>
      </c>
    </row>
    <row r="330">
      <c r="A330" t="inlineStr">
        <is>
          <t>podmíněně</t>
        </is>
      </c>
      <c r="B330" t="inlineStr">
        <is>
          <t>Domácí zavařování a uzení</t>
        </is>
      </c>
      <c r="C330" t="inlineStr">
        <is>
          <t xml:space="preserve">Špejle hrocené </t>
        </is>
      </c>
      <c r="D330" t="inlineStr">
        <is>
          <t>8594019800024</t>
        </is>
      </c>
      <c r="E330" t="n">
        <v>37</v>
      </c>
      <c r="F330" t="n">
        <v>5</v>
      </c>
      <c r="G330" t="n">
        <v>3</v>
      </c>
      <c r="H330" t="n">
        <v>4</v>
      </c>
      <c r="I330" t="n">
        <v>106</v>
      </c>
      <c r="J330" t="n">
        <v>45</v>
      </c>
      <c r="K330" t="n">
        <v>7</v>
      </c>
      <c r="L330" t="inlineStr">
        <is>
          <t>Solvent ČR s.r.o.</t>
        </is>
      </c>
      <c r="M330" t="inlineStr">
        <is>
          <t>Drogerie/Drogerie/PKS</t>
        </is>
      </c>
    </row>
    <row r="331">
      <c r="A331" t="inlineStr">
        <is>
          <t>podmíněně</t>
        </is>
      </c>
      <c r="B331" t="inlineStr">
        <is>
          <t>Domácí zavařování a uzení</t>
        </is>
      </c>
      <c r="C331" t="inlineStr">
        <is>
          <t>Špejle uzenářské 100 ks</t>
        </is>
      </c>
      <c r="D331" t="inlineStr">
        <is>
          <t>8594019800017</t>
        </is>
      </c>
      <c r="E331" t="n">
        <v>29</v>
      </c>
      <c r="F331" t="n">
        <v>3</v>
      </c>
      <c r="G331" t="n">
        <v>5</v>
      </c>
      <c r="H331" t="n">
        <v>4</v>
      </c>
      <c r="I331" t="n">
        <v>96</v>
      </c>
      <c r="J331" t="n">
        <v>42</v>
      </c>
      <c r="K331" t="n">
        <v>6</v>
      </c>
      <c r="L331" t="inlineStr">
        <is>
          <t>Solvent ČR s.r.o.</t>
        </is>
      </c>
      <c r="M331" t="inlineStr">
        <is>
          <t>Drogerie/Drogerie/PKS</t>
        </is>
      </c>
    </row>
    <row r="332">
      <c r="A332" t="inlineStr">
        <is>
          <t>podmíněně</t>
        </is>
      </c>
      <c r="B332" t="inlineStr">
        <is>
          <t>Domácí zavařování a uzení</t>
        </is>
      </c>
      <c r="C332" t="inlineStr">
        <is>
          <t>Víčko na šroubky VUK 68 SK  malé</t>
        </is>
      </c>
      <c r="D332" t="inlineStr">
        <is>
          <t>8595177519674</t>
        </is>
      </c>
      <c r="E332" t="n">
        <v>9</v>
      </c>
      <c r="F332" t="n">
        <v>6</v>
      </c>
      <c r="G332" t="n">
        <v>1</v>
      </c>
      <c r="H332" t="n">
        <v>3.5</v>
      </c>
      <c r="I332" t="n">
        <v>26</v>
      </c>
      <c r="J332" t="n">
        <v>80</v>
      </c>
      <c r="K332" t="n">
        <v>14</v>
      </c>
      <c r="L332" t="inlineStr">
        <is>
          <t>MERTLÍK, spol. s r.o.</t>
        </is>
      </c>
      <c r="M332" t="inlineStr">
        <is>
          <t>Drogerie/Elektro/Mertlík</t>
        </is>
      </c>
    </row>
    <row r="333">
      <c r="A333" t="inlineStr">
        <is>
          <t>podmíněně</t>
        </is>
      </c>
      <c r="B333" t="inlineStr">
        <is>
          <t>Domácí zavařování a uzení</t>
        </is>
      </c>
      <c r="C333" t="inlineStr">
        <is>
          <t>Víčko 10ks TWIST 82 závit  736081 i na MASO ZLATÉ</t>
        </is>
      </c>
      <c r="D333" t="inlineStr">
        <is>
          <t>8594043200463</t>
        </is>
      </c>
      <c r="E333" t="n">
        <v>46</v>
      </c>
      <c r="F333" t="n">
        <v>3</v>
      </c>
      <c r="G333" t="n">
        <v>3</v>
      </c>
      <c r="H333" t="n">
        <v>3</v>
      </c>
      <c r="I333" t="n">
        <v>106</v>
      </c>
      <c r="J333" t="n">
        <v>81</v>
      </c>
      <c r="K333" t="n">
        <v>40</v>
      </c>
      <c r="L333" t="inlineStr">
        <is>
          <t>M.A.T. Group, s.r.o.</t>
        </is>
      </c>
      <c r="M333" t="inlineStr">
        <is>
          <t>Drogerie/Drogerie/MAT</t>
        </is>
      </c>
    </row>
    <row r="334">
      <c r="A334" t="inlineStr">
        <is>
          <t>podmíněně</t>
        </is>
      </c>
      <c r="B334" t="inlineStr">
        <is>
          <t>Hygiena a papírové zboží</t>
        </is>
      </c>
      <c r="C334" t="inlineStr">
        <is>
          <t>Jumbo 19cm bílý , po 6 kusech Hostivař</t>
        </is>
      </c>
      <c r="D334" t="inlineStr">
        <is>
          <t>8594059252814</t>
        </is>
      </c>
      <c r="E334" t="n">
        <v>39</v>
      </c>
      <c r="F334" t="n">
        <v>0</v>
      </c>
      <c r="G334" t="n">
        <v>36</v>
      </c>
      <c r="H334" t="n">
        <v>18</v>
      </c>
      <c r="I334" t="n">
        <v>532</v>
      </c>
      <c r="J334" t="n">
        <v>88</v>
      </c>
      <c r="K334" t="n">
        <v>6</v>
      </c>
      <c r="L334" t="inlineStr">
        <is>
          <t>BARVY A LAKY HOSTIVAŘ, a.s.</t>
        </is>
      </c>
      <c r="M334" t="inlineStr">
        <is>
          <t>Drogerie/Drogerie/BAL</t>
        </is>
      </c>
    </row>
    <row r="335">
      <c r="A335" t="inlineStr">
        <is>
          <t>podmíněně</t>
        </is>
      </c>
      <c r="B335" t="inlineStr">
        <is>
          <t>Hygiena a papírové zboží</t>
        </is>
      </c>
      <c r="C335" t="inlineStr">
        <is>
          <t>Ručníky šedé + zelené ZZ 1+1</t>
        </is>
      </c>
      <c r="D335" t="inlineStr">
        <is>
          <t>3000000002025</t>
        </is>
      </c>
      <c r="E335" t="n">
        <v>45</v>
      </c>
      <c r="F335" t="n">
        <v>30</v>
      </c>
      <c r="G335" t="n">
        <v>0</v>
      </c>
      <c r="H335" t="n">
        <v>15</v>
      </c>
      <c r="I335" t="n">
        <v>279</v>
      </c>
      <c r="J335" t="n">
        <v>100</v>
      </c>
      <c r="K335" t="n">
        <v>1</v>
      </c>
      <c r="L335" t="inlineStr">
        <is>
          <t>Solvent ČR s.r.o.</t>
        </is>
      </c>
      <c r="M335" t="inlineStr">
        <is>
          <t>Drogerie/Drogerie/PKS</t>
        </is>
      </c>
    </row>
    <row r="336">
      <c r="A336" t="inlineStr">
        <is>
          <t>podmíněně</t>
        </is>
      </c>
      <c r="B336" t="inlineStr">
        <is>
          <t>Hygiena a papírové zboží</t>
        </is>
      </c>
      <c r="C336" t="inlineStr">
        <is>
          <t>Harmasan 400 útržků</t>
        </is>
      </c>
      <c r="D336" t="inlineStr">
        <is>
          <t>8584014010306</t>
        </is>
      </c>
      <c r="E336" t="n">
        <v>15</v>
      </c>
      <c r="F336" t="n">
        <v>15</v>
      </c>
      <c r="G336" t="n">
        <v>4</v>
      </c>
      <c r="H336" t="n">
        <v>9.5</v>
      </c>
      <c r="I336" t="n">
        <v>118</v>
      </c>
      <c r="J336" t="n">
        <v>68</v>
      </c>
      <c r="K336" t="n">
        <v>81</v>
      </c>
      <c r="L336" t="inlineStr">
        <is>
          <t>Solvent ČR s.r.o.</t>
        </is>
      </c>
      <c r="M336" t="inlineStr">
        <is>
          <t>Drogerie/Drogerie/PKS</t>
        </is>
      </c>
    </row>
    <row r="337">
      <c r="A337" t="inlineStr">
        <is>
          <t>podmíněně</t>
        </is>
      </c>
      <c r="B337" t="inlineStr">
        <is>
          <t>Hygiena a papírové zboží</t>
        </is>
      </c>
      <c r="C337" t="inlineStr">
        <is>
          <t>Jumbo toal. papír 19cm LEPŠÍ Zachař</t>
        </is>
      </c>
      <c r="D337" t="inlineStr">
        <is>
          <t>8594158375407</t>
        </is>
      </c>
      <c r="E337" t="n">
        <v>39</v>
      </c>
      <c r="F337" t="n">
        <v>18</v>
      </c>
      <c r="G337" t="n">
        <v>0</v>
      </c>
      <c r="H337" t="n">
        <v>9</v>
      </c>
      <c r="I337" t="n">
        <v>261</v>
      </c>
      <c r="J337" t="n">
        <v>64</v>
      </c>
      <c r="K337" t="n">
        <v>0</v>
      </c>
      <c r="L337" t="inlineStr">
        <is>
          <t>Petr Zachař</t>
        </is>
      </c>
      <c r="M337" t="inlineStr">
        <is>
          <t>Drogerie/Drogerie/Zachař</t>
        </is>
      </c>
    </row>
    <row r="338">
      <c r="A338" t="inlineStr">
        <is>
          <t>podmíněně</t>
        </is>
      </c>
      <c r="B338" t="inlineStr">
        <is>
          <t>Hygiena a papírové zboží</t>
        </is>
      </c>
      <c r="C338" t="inlineStr">
        <is>
          <t>Štěpařský vosk 150g papír. Moudrý</t>
        </is>
      </c>
      <c r="D338" t="inlineStr">
        <is>
          <t>8594021251944</t>
        </is>
      </c>
      <c r="E338" t="n">
        <v>89</v>
      </c>
      <c r="F338" t="n">
        <v>4</v>
      </c>
      <c r="G338" t="n">
        <v>8</v>
      </c>
      <c r="H338" t="n">
        <v>6</v>
      </c>
      <c r="I338" t="n">
        <v>434</v>
      </c>
      <c r="J338" t="n">
        <v>58</v>
      </c>
      <c r="K338" t="n">
        <v>0</v>
      </c>
      <c r="L338" t="inlineStr">
        <is>
          <t>BIOM s.r.o.</t>
        </is>
      </c>
      <c r="M338" t="inlineStr">
        <is>
          <t>Drogerie/Drogerie/Biom</t>
        </is>
      </c>
    </row>
    <row r="339">
      <c r="A339" t="inlineStr">
        <is>
          <t>podmíněně</t>
        </is>
      </c>
      <c r="B339" t="inlineStr">
        <is>
          <t>Hygiena a papírové zboží</t>
        </is>
      </c>
      <c r="C339" t="inlineStr">
        <is>
          <t>Jumbo 190/120 1 vrstva</t>
        </is>
      </c>
      <c r="D339" t="inlineStr">
        <is>
          <t>9783598216114</t>
        </is>
      </c>
      <c r="E339" t="n">
        <v>25</v>
      </c>
      <c r="F339" t="n">
        <v>0</v>
      </c>
      <c r="G339" t="n">
        <v>6</v>
      </c>
      <c r="H339" t="n">
        <v>3</v>
      </c>
      <c r="I339" t="n">
        <v>62</v>
      </c>
      <c r="J339" t="n">
        <v>75</v>
      </c>
      <c r="K339" t="n">
        <v>0</v>
      </c>
      <c r="L339" t="inlineStr">
        <is>
          <t>Vylistovat</t>
        </is>
      </c>
      <c r="M339" t="inlineStr">
        <is>
          <t>Drogerie/Vylistovat</t>
        </is>
      </c>
    </row>
    <row r="340">
      <c r="A340" t="inlineStr">
        <is>
          <t>podmíněně</t>
        </is>
      </c>
      <c r="B340" t="inlineStr">
        <is>
          <t>Hygiena a papírové zboží</t>
        </is>
      </c>
      <c r="C340" t="inlineStr">
        <is>
          <t>Jumbo 190mm OBYČEJNÝ Zachař</t>
        </is>
      </c>
      <c r="D340" t="inlineStr">
        <is>
          <t>8594158375308</t>
        </is>
      </c>
      <c r="E340" t="n">
        <v>28</v>
      </c>
      <c r="F340" t="n">
        <v>6</v>
      </c>
      <c r="G340" t="n">
        <v>0</v>
      </c>
      <c r="H340" t="n">
        <v>3</v>
      </c>
      <c r="I340" t="n">
        <v>69</v>
      </c>
      <c r="J340" t="n">
        <v>64</v>
      </c>
      <c r="K340" t="n">
        <v>15</v>
      </c>
      <c r="L340" t="inlineStr">
        <is>
          <t>Petr Zachař</t>
        </is>
      </c>
      <c r="M340" t="inlineStr">
        <is>
          <t>Drogerie/Drogerie/Zachař</t>
        </is>
      </c>
    </row>
    <row r="341">
      <c r="A341" t="inlineStr">
        <is>
          <t>podmíněně</t>
        </is>
      </c>
      <c r="B341" t="inlineStr">
        <is>
          <t>Hygiena a papírové zboží</t>
        </is>
      </c>
      <c r="C341" t="inlineStr">
        <is>
          <t>Kapesníčky linteo 150ks krab.2 vrstvé</t>
        </is>
      </c>
      <c r="D341" t="inlineStr">
        <is>
          <t>8594008878782</t>
        </is>
      </c>
      <c r="E341" t="n">
        <v>38</v>
      </c>
      <c r="F341" t="n">
        <v>3</v>
      </c>
      <c r="G341" t="n">
        <v>3</v>
      </c>
      <c r="H341" t="n">
        <v>3</v>
      </c>
      <c r="I341" t="n">
        <v>93</v>
      </c>
      <c r="J341" t="n">
        <v>69</v>
      </c>
      <c r="K341" t="n">
        <v>9</v>
      </c>
      <c r="L341" t="inlineStr">
        <is>
          <t>Petr Zachař</t>
        </is>
      </c>
      <c r="M341" t="inlineStr">
        <is>
          <t>Drogerie/Drogerie/Zachař</t>
        </is>
      </c>
    </row>
    <row r="342">
      <c r="A342" t="inlineStr">
        <is>
          <t>podmíněně</t>
        </is>
      </c>
      <c r="B342" t="inlineStr">
        <is>
          <t>Kabely a vodiče</t>
        </is>
      </c>
      <c r="C342" t="inlineStr">
        <is>
          <t xml:space="preserve">Vodič CYSY 3Gx1,5 </t>
        </is>
      </c>
      <c r="D342" t="inlineStr">
        <is>
          <t>2214063849133</t>
        </is>
      </c>
      <c r="E342" t="n">
        <v>31</v>
      </c>
      <c r="F342" t="n">
        <v>0</v>
      </c>
      <c r="G342" t="n">
        <v>144</v>
      </c>
      <c r="H342" t="n">
        <v>72</v>
      </c>
      <c r="I342" t="n">
        <v>1729</v>
      </c>
      <c r="J342" t="n">
        <v>61</v>
      </c>
      <c r="K342" t="n">
        <v>-18</v>
      </c>
      <c r="L342" t="inlineStr">
        <is>
          <t>MERTLÍK, spol. s r.o.</t>
        </is>
      </c>
      <c r="M342" t="inlineStr">
        <is>
          <t>Drogerie/Elektro/Mertlík</t>
        </is>
      </c>
    </row>
    <row r="343">
      <c r="A343" t="inlineStr">
        <is>
          <t>podmíněně</t>
        </is>
      </c>
      <c r="B343" t="inlineStr">
        <is>
          <t>Kabely a vodiče</t>
        </is>
      </c>
      <c r="C343" t="inlineStr">
        <is>
          <t>Cyky 3x2,5 úložný kabel žz-m-hn cena za metr</t>
        </is>
      </c>
      <c r="D343" t="inlineStr">
        <is>
          <t>9783598215568</t>
        </is>
      </c>
      <c r="E343" t="n">
        <v>38</v>
      </c>
      <c r="F343" t="n">
        <v>62</v>
      </c>
      <c r="G343" t="n">
        <v>36</v>
      </c>
      <c r="H343" t="n">
        <v>49</v>
      </c>
      <c r="I343" t="n">
        <v>1515</v>
      </c>
      <c r="J343" t="n">
        <v>54</v>
      </c>
      <c r="K343" t="n">
        <v>79.5</v>
      </c>
      <c r="L343" t="inlineStr">
        <is>
          <t>MERTLÍK, spol. s r.o.</t>
        </is>
      </c>
      <c r="M343" t="inlineStr">
        <is>
          <t>Drogerie/Elektro/Mertlík</t>
        </is>
      </c>
    </row>
    <row r="344">
      <c r="A344" t="inlineStr">
        <is>
          <t>podmíněně</t>
        </is>
      </c>
      <c r="B344" t="inlineStr">
        <is>
          <t>Kabely a vodiče</t>
        </is>
      </c>
      <c r="C344" t="inlineStr">
        <is>
          <t>Vodič CYSY 2G X1 HO5VV - F, cena za metr</t>
        </is>
      </c>
      <c r="D344" t="inlineStr">
        <is>
          <t>6426210000243</t>
        </is>
      </c>
      <c r="E344" t="n">
        <v>17</v>
      </c>
      <c r="F344" t="n">
        <v>16</v>
      </c>
      <c r="G344" t="n">
        <v>50</v>
      </c>
      <c r="H344" t="n">
        <v>33</v>
      </c>
      <c r="I344" t="n">
        <v>443</v>
      </c>
      <c r="J344" t="n">
        <v>74</v>
      </c>
      <c r="K344" t="n">
        <v>63.5</v>
      </c>
      <c r="L344" t="inlineStr">
        <is>
          <t>MERTLÍK, spol. s r.o.</t>
        </is>
      </c>
      <c r="M344" t="inlineStr">
        <is>
          <t>Drogerie/Elektro/Mertlík</t>
        </is>
      </c>
    </row>
    <row r="345">
      <c r="A345" t="inlineStr">
        <is>
          <t>podmíněně</t>
        </is>
      </c>
      <c r="B345" t="inlineStr">
        <is>
          <t>Kabely a vodiče</t>
        </is>
      </c>
      <c r="C345" t="inlineStr">
        <is>
          <t>Cyky 3Jx1,5 kulatý</t>
        </is>
      </c>
      <c r="D345" t="inlineStr">
        <is>
          <t>8595067500294</t>
        </is>
      </c>
      <c r="E345" t="n">
        <v>28</v>
      </c>
      <c r="F345" t="n">
        <v>17</v>
      </c>
      <c r="G345" t="n">
        <v>43</v>
      </c>
      <c r="H345" t="n">
        <v>30</v>
      </c>
      <c r="I345" t="n">
        <v>679</v>
      </c>
      <c r="J345" t="n">
        <v>86</v>
      </c>
      <c r="K345" t="n">
        <v>105</v>
      </c>
      <c r="L345" t="inlineStr">
        <is>
          <t>MERTLÍK, spol. s r.o.</t>
        </is>
      </c>
      <c r="M345" t="inlineStr">
        <is>
          <t>Drogerie/Elektro/Mertlík</t>
        </is>
      </c>
    </row>
    <row r="346">
      <c r="A346" t="inlineStr">
        <is>
          <t>podmíněně</t>
        </is>
      </c>
      <c r="B346" t="inlineStr">
        <is>
          <t>Kabely a vodiče</t>
        </is>
      </c>
      <c r="C346" t="inlineStr">
        <is>
          <t>Dvojlinka nestíněná 2x0,75mm bílá, 100m</t>
        </is>
      </c>
      <c r="D346" t="inlineStr">
        <is>
          <t>8595025309228</t>
        </is>
      </c>
      <c r="E346" t="n">
        <v>15.7</v>
      </c>
      <c r="F346" t="n">
        <v>32</v>
      </c>
      <c r="G346" t="n">
        <v>11</v>
      </c>
      <c r="H346" t="n">
        <v>21.5</v>
      </c>
      <c r="I346" t="n">
        <v>280</v>
      </c>
      <c r="J346" t="n">
        <v>37</v>
      </c>
      <c r="K346" t="n">
        <v>53</v>
      </c>
      <c r="L346" t="inlineStr">
        <is>
          <t>EMOS spol. s r.o.</t>
        </is>
      </c>
      <c r="M346" t="inlineStr">
        <is>
          <t>Drogerie/Elektro/Emos</t>
        </is>
      </c>
    </row>
    <row r="347">
      <c r="A347" t="inlineStr">
        <is>
          <t>podmíněně</t>
        </is>
      </c>
      <c r="B347" t="inlineStr">
        <is>
          <t>Kabely a vodiče</t>
        </is>
      </c>
      <c r="C347" t="inlineStr">
        <is>
          <t>Husí krk Kopos 2316/LPE-2 bílý</t>
        </is>
      </c>
      <c r="D347" t="inlineStr">
        <is>
          <t>8596067603664</t>
        </is>
      </c>
      <c r="E347" t="n">
        <v>16</v>
      </c>
      <c r="F347" t="n">
        <v>0</v>
      </c>
      <c r="G347" t="n">
        <v>32</v>
      </c>
      <c r="H347" t="n">
        <v>16</v>
      </c>
      <c r="I347" t="n">
        <v>212</v>
      </c>
      <c r="J347" t="n">
        <v>55</v>
      </c>
      <c r="K347" t="n">
        <v>0</v>
      </c>
      <c r="L347" t="inlineStr">
        <is>
          <t>MERTLÍK, spol. s r.o.</t>
        </is>
      </c>
      <c r="M347" t="inlineStr">
        <is>
          <t>Drogerie/Elektro/Mertlík</t>
        </is>
      </c>
    </row>
    <row r="348">
      <c r="A348" t="inlineStr">
        <is>
          <t>podmíněně</t>
        </is>
      </c>
      <c r="B348" t="inlineStr">
        <is>
          <t>Kabely a vodiče</t>
        </is>
      </c>
      <c r="C348" t="inlineStr">
        <is>
          <t>Dvojlinka nestíněná 2x0,50mm černo/rudá, 100m</t>
        </is>
      </c>
      <c r="D348" t="inlineStr">
        <is>
          <t>8595025309181</t>
        </is>
      </c>
      <c r="E348" t="n">
        <v>15</v>
      </c>
      <c r="F348" t="n">
        <v>16</v>
      </c>
      <c r="G348" t="n">
        <v>16</v>
      </c>
      <c r="H348" t="n">
        <v>16</v>
      </c>
      <c r="I348" t="n">
        <v>188</v>
      </c>
      <c r="J348" t="n">
        <v>69</v>
      </c>
      <c r="K348" t="n">
        <v>37</v>
      </c>
      <c r="L348" t="inlineStr">
        <is>
          <t>EMOS spol. s r.o.</t>
        </is>
      </c>
      <c r="M348" t="inlineStr">
        <is>
          <t>Drogerie/Elektro/Emos</t>
        </is>
      </c>
    </row>
    <row r="349">
      <c r="A349" t="inlineStr">
        <is>
          <t>podmíněně</t>
        </is>
      </c>
      <c r="B349" t="inlineStr">
        <is>
          <t>Kabely a vodiče</t>
        </is>
      </c>
      <c r="C349" t="inlineStr">
        <is>
          <t>Vodič CYSY 3Gx1 H05VV-F</t>
        </is>
      </c>
      <c r="D349" t="inlineStr">
        <is>
          <t>6426210000281</t>
        </is>
      </c>
      <c r="E349" t="n">
        <v>21</v>
      </c>
      <c r="F349" t="n">
        <v>23</v>
      </c>
      <c r="G349" t="n">
        <v>0</v>
      </c>
      <c r="H349" t="n">
        <v>11.5</v>
      </c>
      <c r="I349" t="n">
        <v>200</v>
      </c>
      <c r="J349" t="n">
        <v>60</v>
      </c>
      <c r="K349" t="n">
        <v>32</v>
      </c>
      <c r="L349" t="inlineStr">
        <is>
          <t>MERTLÍK, spol. s r.o.</t>
        </is>
      </c>
      <c r="M349" t="inlineStr">
        <is>
          <t>Drogerie/Elektro/Mertlík</t>
        </is>
      </c>
    </row>
    <row r="350">
      <c r="A350" t="inlineStr">
        <is>
          <t>podmíněně</t>
        </is>
      </c>
      <c r="B350" t="inlineStr">
        <is>
          <t>Kabely a vodiče</t>
        </is>
      </c>
      <c r="C350" t="inlineStr">
        <is>
          <t>Husí krk Kopos 2323/LPE -2 bílý</t>
        </is>
      </c>
      <c r="D350" t="inlineStr">
        <is>
          <t>8595057603660</t>
        </is>
      </c>
      <c r="E350" t="n">
        <v>26</v>
      </c>
      <c r="F350" t="n">
        <v>19</v>
      </c>
      <c r="G350" t="n">
        <v>0</v>
      </c>
      <c r="H350" t="n">
        <v>9.5</v>
      </c>
      <c r="I350" t="n">
        <v>204</v>
      </c>
      <c r="J350" t="n">
        <v>56</v>
      </c>
      <c r="K350" t="n">
        <v>120</v>
      </c>
      <c r="L350" t="inlineStr">
        <is>
          <t>MERTLÍK, spol. s r.o.</t>
        </is>
      </c>
      <c r="M350" t="inlineStr">
        <is>
          <t>Drogerie/Elektro/Mertlík</t>
        </is>
      </c>
    </row>
    <row r="351">
      <c r="A351" t="inlineStr">
        <is>
          <t>podmíněně</t>
        </is>
      </c>
      <c r="B351" t="inlineStr">
        <is>
          <t>Kabely a vodiče</t>
        </is>
      </c>
      <c r="C351" t="inlineStr">
        <is>
          <t>Vodič Cysy  5x1,5 silová šnúra 300/500V  cena za metr</t>
        </is>
      </c>
      <c r="D351" t="inlineStr">
        <is>
          <t>1000000005141</t>
        </is>
      </c>
      <c r="E351" t="n">
        <v>47</v>
      </c>
      <c r="F351" t="n">
        <v>0</v>
      </c>
      <c r="G351" t="n">
        <v>14</v>
      </c>
      <c r="H351" t="n">
        <v>7</v>
      </c>
      <c r="I351" t="n">
        <v>272</v>
      </c>
      <c r="J351" t="n">
        <v>85</v>
      </c>
      <c r="K351" t="n">
        <v>0</v>
      </c>
      <c r="L351" t="inlineStr">
        <is>
          <t>MERTLÍK, spol. s r.o.</t>
        </is>
      </c>
      <c r="M351" t="inlineStr">
        <is>
          <t>Drogerie/Elektro/Mertlík</t>
        </is>
      </c>
    </row>
    <row r="352">
      <c r="A352" t="inlineStr">
        <is>
          <t>podmíněně</t>
        </is>
      </c>
      <c r="B352" t="inlineStr">
        <is>
          <t>Kabely a vodiče</t>
        </is>
      </c>
      <c r="C352" t="inlineStr">
        <is>
          <t>Vodič Cysy 5x2,5 silová šnúra 300/500V žz-m-hn cena za metr</t>
        </is>
      </c>
      <c r="D352" t="inlineStr">
        <is>
          <t>8430220153316</t>
        </is>
      </c>
      <c r="E352" t="n">
        <v>86</v>
      </c>
      <c r="F352" t="n">
        <v>14</v>
      </c>
      <c r="G352" t="n">
        <v>0</v>
      </c>
      <c r="H352" t="n">
        <v>7</v>
      </c>
      <c r="I352" t="n">
        <v>498</v>
      </c>
      <c r="J352" t="n">
        <v>70</v>
      </c>
      <c r="K352" t="n">
        <v>54.5</v>
      </c>
      <c r="L352" t="inlineStr">
        <is>
          <t>MERTLÍK, spol. s r.o.</t>
        </is>
      </c>
      <c r="M352" t="inlineStr">
        <is>
          <t>Drogerie/Elektro/Mertlík</t>
        </is>
      </c>
    </row>
    <row r="353">
      <c r="A353" t="inlineStr">
        <is>
          <t>podmíněně</t>
        </is>
      </c>
      <c r="B353" t="inlineStr">
        <is>
          <t>Kabely a vodiče</t>
        </is>
      </c>
      <c r="C353" t="inlineStr">
        <is>
          <t>Husí krk na ven 130-020  černý UV balík 25m/ cena za metr</t>
        </is>
      </c>
      <c r="D353" t="inlineStr">
        <is>
          <t>4013960302448</t>
        </is>
      </c>
      <c r="E353" t="n">
        <v>36</v>
      </c>
      <c r="F353" t="n">
        <v>2</v>
      </c>
      <c r="G353" t="n">
        <v>6</v>
      </c>
      <c r="H353" t="n">
        <v>4</v>
      </c>
      <c r="I353" t="n">
        <v>110</v>
      </c>
      <c r="J353" t="n">
        <v>53</v>
      </c>
      <c r="K353" t="n">
        <v>25</v>
      </c>
      <c r="L353" t="inlineStr">
        <is>
          <t>MERTLÍK, spol. s r.o.</t>
        </is>
      </c>
      <c r="M353" t="inlineStr">
        <is>
          <t>Drogerie/Elektro/Mertlík</t>
        </is>
      </c>
    </row>
    <row r="354">
      <c r="A354" t="inlineStr">
        <is>
          <t>podmíněně</t>
        </is>
      </c>
      <c r="B354" t="inlineStr">
        <is>
          <t>Kabely a vodiče</t>
        </is>
      </c>
      <c r="C354" t="inlineStr">
        <is>
          <t>Kabel cyky 5x2,5 cena za metr GUMA</t>
        </is>
      </c>
      <c r="D354" t="inlineStr">
        <is>
          <t>8595067501260</t>
        </is>
      </c>
      <c r="E354" t="n">
        <v>95</v>
      </c>
      <c r="F354" t="n">
        <v>7</v>
      </c>
      <c r="G354" t="n">
        <v>0</v>
      </c>
      <c r="H354" t="n">
        <v>3.5</v>
      </c>
      <c r="I354" t="n">
        <v>275</v>
      </c>
      <c r="J354" t="n">
        <v>60</v>
      </c>
      <c r="K354" t="n">
        <v>23</v>
      </c>
      <c r="L354" t="inlineStr">
        <is>
          <t>MERTLÍK, spol. s r.o.</t>
        </is>
      </c>
      <c r="M354" t="inlineStr">
        <is>
          <t>Drogerie/Elektro/Mertlík</t>
        </is>
      </c>
    </row>
    <row r="355">
      <c r="A355" t="inlineStr">
        <is>
          <t>podmíněně</t>
        </is>
      </c>
      <c r="B355" t="inlineStr">
        <is>
          <t>Klíče, zámky, kroužky</t>
        </is>
      </c>
      <c r="C355" t="inlineStr">
        <is>
          <t>Rozlišovač klíčů</t>
        </is>
      </c>
      <c r="D355" t="inlineStr">
        <is>
          <t>8595071800250</t>
        </is>
      </c>
      <c r="E355" t="n">
        <v>3</v>
      </c>
      <c r="F355" t="n">
        <v>20</v>
      </c>
      <c r="G355" t="n">
        <v>29</v>
      </c>
      <c r="H355" t="n">
        <v>24.5</v>
      </c>
      <c r="I355" t="n">
        <v>60</v>
      </c>
      <c r="J355" t="n">
        <v>206</v>
      </c>
      <c r="K355" t="n">
        <v>277</v>
      </c>
      <c r="L355" t="inlineStr">
        <is>
          <t>M.A.T. Group, s.r.o.</t>
        </is>
      </c>
      <c r="M355" t="inlineStr">
        <is>
          <t>Drogerie/Drogerie/MAT</t>
        </is>
      </c>
    </row>
    <row r="356">
      <c r="A356" t="inlineStr">
        <is>
          <t>podmíněně</t>
        </is>
      </c>
      <c r="B356" t="inlineStr">
        <is>
          <t>Klíče, zámky, kroužky</t>
        </is>
      </c>
      <c r="C356" t="inlineStr">
        <is>
          <t>Kroužek na drůbež originál</t>
        </is>
      </c>
      <c r="D356" t="inlineStr">
        <is>
          <t>8595129102527</t>
        </is>
      </c>
      <c r="E356" t="n">
        <v>8</v>
      </c>
      <c r="F356" t="n">
        <v>14</v>
      </c>
      <c r="G356" t="n">
        <v>21</v>
      </c>
      <c r="H356" t="n">
        <v>17.5</v>
      </c>
      <c r="I356" t="n">
        <v>116</v>
      </c>
      <c r="J356" t="n">
        <v>54</v>
      </c>
      <c r="K356" t="n">
        <v>34</v>
      </c>
      <c r="L356" t="inlineStr">
        <is>
          <t>M.A.T. Group, s.r.o.</t>
        </is>
      </c>
      <c r="M356" t="inlineStr">
        <is>
          <t>Drogerie/Drogerie/MAT</t>
        </is>
      </c>
    </row>
    <row r="357">
      <c r="A357" t="inlineStr">
        <is>
          <t>podmíněně</t>
        </is>
      </c>
      <c r="B357" t="inlineStr">
        <is>
          <t>Klíče, zámky, kroužky</t>
        </is>
      </c>
      <c r="C357" t="inlineStr">
        <is>
          <t>Kroužek na klíč 25 x 1,8mm</t>
        </is>
      </c>
      <c r="D357" t="inlineStr">
        <is>
          <t>8596221151833</t>
        </is>
      </c>
      <c r="E357" t="n">
        <v>4</v>
      </c>
      <c r="F357" t="n">
        <v>5</v>
      </c>
      <c r="G357" t="n">
        <v>18</v>
      </c>
      <c r="H357" t="n">
        <v>11.5</v>
      </c>
      <c r="I357" t="n">
        <v>30</v>
      </c>
      <c r="J357" t="n">
        <v>326</v>
      </c>
      <c r="K357" t="n">
        <v>179</v>
      </c>
      <c r="L357" t="inlineStr">
        <is>
          <t>M.A.T. Group, s.r.o.</t>
        </is>
      </c>
      <c r="M357" t="inlineStr">
        <is>
          <t>Drogerie/Drogerie/MAT</t>
        </is>
      </c>
    </row>
    <row r="358">
      <c r="A358" t="inlineStr">
        <is>
          <t>podmíněně</t>
        </is>
      </c>
      <c r="B358" t="inlineStr">
        <is>
          <t>Klíče, zámky, kroužky</t>
        </is>
      </c>
      <c r="C358" t="inlineStr">
        <is>
          <t>Rozlišovač popisný, na klúč, mix barev</t>
        </is>
      </c>
      <c r="D358" t="inlineStr">
        <is>
          <t>8584163061952</t>
        </is>
      </c>
      <c r="E358" t="n">
        <v>4</v>
      </c>
      <c r="F358" t="n">
        <v>22</v>
      </c>
      <c r="G358" t="n">
        <v>0</v>
      </c>
      <c r="H358" t="n">
        <v>11</v>
      </c>
      <c r="I358" t="n">
        <v>36</v>
      </c>
      <c r="J358" t="n">
        <v>231</v>
      </c>
      <c r="K358" t="n">
        <v>202</v>
      </c>
      <c r="L358" t="inlineStr">
        <is>
          <t>SLOVAKIA TREND EXPORT-IMPORT s. r. o</t>
        </is>
      </c>
      <c r="M358" t="inlineStr">
        <is>
          <t>Drogerie/Drogerie/Strend</t>
        </is>
      </c>
    </row>
    <row r="359">
      <c r="A359" t="inlineStr">
        <is>
          <t>podmíněně</t>
        </is>
      </c>
      <c r="B359" t="inlineStr">
        <is>
          <t>Klíče, zámky, kroužky</t>
        </is>
      </c>
      <c r="C359" t="inlineStr">
        <is>
          <t>Kroužek na klíč 18 x 1,5mm</t>
        </is>
      </c>
      <c r="D359" t="inlineStr">
        <is>
          <t>8596221151796</t>
        </is>
      </c>
      <c r="E359" t="n">
        <v>2.5</v>
      </c>
      <c r="F359" t="n">
        <v>9</v>
      </c>
      <c r="G359" t="n">
        <v>8</v>
      </c>
      <c r="H359" t="n">
        <v>8.5</v>
      </c>
      <c r="I359" t="n">
        <v>18</v>
      </c>
      <c r="J359" t="n">
        <v>331</v>
      </c>
      <c r="K359" t="n">
        <v>276</v>
      </c>
      <c r="L359" t="inlineStr">
        <is>
          <t>M.A.T. Group, s.r.o.</t>
        </is>
      </c>
      <c r="M359" t="inlineStr">
        <is>
          <t>Drogerie/Drogerie/MAT</t>
        </is>
      </c>
    </row>
    <row r="360">
      <c r="A360" t="inlineStr">
        <is>
          <t>podmíněně</t>
        </is>
      </c>
      <c r="B360" t="inlineStr">
        <is>
          <t>Klíče, zámky, kroužky</t>
        </is>
      </c>
      <c r="C360" t="inlineStr">
        <is>
          <t>Kroužek na klíč 30x 2mm</t>
        </is>
      </c>
      <c r="D360" t="inlineStr">
        <is>
          <t>8596221151857</t>
        </is>
      </c>
      <c r="E360" t="n">
        <v>4.5</v>
      </c>
      <c r="F360" t="n">
        <v>10</v>
      </c>
      <c r="G360" t="n">
        <v>5</v>
      </c>
      <c r="H360" t="n">
        <v>7.5</v>
      </c>
      <c r="I360" t="n">
        <v>28</v>
      </c>
      <c r="J360" t="n">
        <v>278</v>
      </c>
      <c r="K360" t="n">
        <v>114</v>
      </c>
      <c r="L360" t="inlineStr">
        <is>
          <t>M.A.T. Group, s.r.o.</t>
        </is>
      </c>
      <c r="M360" t="inlineStr">
        <is>
          <t>Drogerie/Drogerie/MAT</t>
        </is>
      </c>
    </row>
    <row r="361">
      <c r="A361" t="inlineStr">
        <is>
          <t>podmíněně</t>
        </is>
      </c>
      <c r="B361" t="inlineStr">
        <is>
          <t>Klíče, zámky, kroužky</t>
        </is>
      </c>
      <c r="C361" t="inlineStr">
        <is>
          <t>visačka na klíče s žetonem 350053</t>
        </is>
      </c>
      <c r="D361" t="inlineStr">
        <is>
          <t>8595071800304</t>
        </is>
      </c>
      <c r="E361" t="n">
        <v>10</v>
      </c>
      <c r="F361" t="n">
        <v>6</v>
      </c>
      <c r="G361" t="n">
        <v>3</v>
      </c>
      <c r="H361" t="n">
        <v>4.5</v>
      </c>
      <c r="I361" t="n">
        <v>37</v>
      </c>
      <c r="J361" t="n">
        <v>55</v>
      </c>
      <c r="K361" t="n">
        <v>63</v>
      </c>
      <c r="L361" t="inlineStr">
        <is>
          <t>M.A.T. Group, s.r.o.</t>
        </is>
      </c>
      <c r="M361" t="inlineStr">
        <is>
          <t>Drogerie/Drogerie/MAT</t>
        </is>
      </c>
    </row>
    <row r="362">
      <c r="A362" t="inlineStr">
        <is>
          <t>podmíněně</t>
        </is>
      </c>
      <c r="B362" t="inlineStr">
        <is>
          <t>Papírnictví a psací potřeby</t>
        </is>
      </c>
      <c r="C362" t="inlineStr">
        <is>
          <t>popisovač černý- 2846</t>
        </is>
      </c>
      <c r="D362" t="inlineStr">
        <is>
          <t>8595013612309</t>
        </is>
      </c>
      <c r="E362" t="n">
        <v>14</v>
      </c>
      <c r="F362" t="n">
        <v>16</v>
      </c>
      <c r="G362" t="n">
        <v>16</v>
      </c>
      <c r="H362" t="n">
        <v>16</v>
      </c>
      <c r="I362" t="n">
        <v>183</v>
      </c>
      <c r="J362" t="n">
        <v>56</v>
      </c>
      <c r="K362" t="n">
        <v>25</v>
      </c>
      <c r="L362" t="inlineStr">
        <is>
          <t>JHPAP s.r.o.</t>
        </is>
      </c>
      <c r="M362" t="inlineStr">
        <is>
          <t>Drogerie/Drogerie/JHPAP</t>
        </is>
      </c>
    </row>
    <row r="363">
      <c r="A363" t="inlineStr">
        <is>
          <t>podmíněně</t>
        </is>
      </c>
      <c r="B363" t="inlineStr">
        <is>
          <t>Papírnictví a psací potřeby</t>
        </is>
      </c>
      <c r="C363" t="inlineStr">
        <is>
          <t>Popisovač 2634 černý voděodolný</t>
        </is>
      </c>
      <c r="D363" t="inlineStr">
        <is>
          <t>8595013624807</t>
        </is>
      </c>
      <c r="E363" t="n">
        <v>22</v>
      </c>
      <c r="F363" t="n">
        <v>10</v>
      </c>
      <c r="G363" t="n">
        <v>6</v>
      </c>
      <c r="H363" t="n">
        <v>8</v>
      </c>
      <c r="I363" t="n">
        <v>139</v>
      </c>
      <c r="J363" t="n">
        <v>52</v>
      </c>
      <c r="K363" t="n">
        <v>10</v>
      </c>
      <c r="L363" t="inlineStr">
        <is>
          <t>JHPAP s.r.o.</t>
        </is>
      </c>
      <c r="M363" t="inlineStr">
        <is>
          <t>Drogerie/Drogerie/JHPAP</t>
        </is>
      </c>
    </row>
    <row r="364">
      <c r="A364" t="inlineStr">
        <is>
          <t>podmíněně</t>
        </is>
      </c>
      <c r="B364" t="inlineStr">
        <is>
          <t>Papírnictví a psací potřeby</t>
        </is>
      </c>
      <c r="C364" t="inlineStr">
        <is>
          <t>Popisovač černý 8566</t>
        </is>
      </c>
      <c r="D364" t="inlineStr">
        <is>
          <t>8595013615522</t>
        </is>
      </c>
      <c r="E364" t="n">
        <v>26</v>
      </c>
      <c r="F364" t="n">
        <v>5</v>
      </c>
      <c r="G364" t="n">
        <v>8</v>
      </c>
      <c r="H364" t="n">
        <v>6.5</v>
      </c>
      <c r="I364" t="n">
        <v>137</v>
      </c>
      <c r="J364" t="n">
        <v>54</v>
      </c>
      <c r="K364" t="n">
        <v>8</v>
      </c>
      <c r="L364" t="inlineStr">
        <is>
          <t>JHPAP s.r.o.</t>
        </is>
      </c>
      <c r="M364" t="inlineStr">
        <is>
          <t>Drogerie/Drogerie/JHPAP</t>
        </is>
      </c>
    </row>
    <row r="365">
      <c r="A365" t="inlineStr">
        <is>
          <t>podmíněně</t>
        </is>
      </c>
      <c r="B365" t="inlineStr">
        <is>
          <t>Papírnictví a psací potřeby</t>
        </is>
      </c>
      <c r="C365" t="inlineStr">
        <is>
          <t>Popisovač modrý 2846</t>
        </is>
      </c>
      <c r="D365" t="inlineStr">
        <is>
          <t>8595013612286</t>
        </is>
      </c>
      <c r="E365" t="n">
        <v>14</v>
      </c>
      <c r="F365" t="n">
        <v>4</v>
      </c>
      <c r="G365" t="n">
        <v>7</v>
      </c>
      <c r="H365" t="n">
        <v>5.5</v>
      </c>
      <c r="I365" t="n">
        <v>63</v>
      </c>
      <c r="J365" t="n">
        <v>56</v>
      </c>
      <c r="K365" t="n">
        <v>12</v>
      </c>
      <c r="L365" t="inlineStr">
        <is>
          <t>JHPAP s.r.o.</t>
        </is>
      </c>
      <c r="M365" t="inlineStr">
        <is>
          <t>Drogerie/Drogerie/JHPAP</t>
        </is>
      </c>
    </row>
    <row r="366">
      <c r="A366" t="inlineStr">
        <is>
          <t>podmíněně</t>
        </is>
      </c>
      <c r="B366" t="inlineStr">
        <is>
          <t>Papírnictví a psací potřeby</t>
        </is>
      </c>
      <c r="C366" t="inlineStr">
        <is>
          <t>Sáček celofánový120x255</t>
        </is>
      </c>
      <c r="D366" t="inlineStr">
        <is>
          <t>9785598216163</t>
        </is>
      </c>
      <c r="E366" t="n">
        <v>6</v>
      </c>
      <c r="F366" t="n">
        <v>0</v>
      </c>
      <c r="G366" t="n">
        <v>10</v>
      </c>
      <c r="H366" t="n">
        <v>5</v>
      </c>
      <c r="I366" t="n">
        <v>25</v>
      </c>
      <c r="J366" t="n">
        <v>130</v>
      </c>
      <c r="K366" t="n">
        <v>10</v>
      </c>
      <c r="L366" t="inlineStr">
        <is>
          <t>JHPAP s.r.o.</t>
        </is>
      </c>
      <c r="M366" t="inlineStr">
        <is>
          <t>Drogerie/Drogerie/JHPAP</t>
        </is>
      </c>
    </row>
    <row r="367">
      <c r="A367" t="inlineStr">
        <is>
          <t>podmíněně</t>
        </is>
      </c>
      <c r="B367" t="inlineStr">
        <is>
          <t>Papírnictví a psací potřeby</t>
        </is>
      </c>
      <c r="C367" t="inlineStr">
        <is>
          <t>Popisovač 2846 červený</t>
        </is>
      </c>
      <c r="D367" t="inlineStr">
        <is>
          <t>8595013612279</t>
        </is>
      </c>
      <c r="E367" t="n">
        <v>14</v>
      </c>
      <c r="F367" t="n">
        <v>2</v>
      </c>
      <c r="G367" t="n">
        <v>6</v>
      </c>
      <c r="H367" t="n">
        <v>4</v>
      </c>
      <c r="I367" t="n">
        <v>45</v>
      </c>
      <c r="J367" t="n">
        <v>56</v>
      </c>
      <c r="K367" t="n">
        <v>1</v>
      </c>
      <c r="L367" t="inlineStr">
        <is>
          <t>JHPAP s.r.o.</t>
        </is>
      </c>
      <c r="M367" t="inlineStr">
        <is>
          <t>Drogerie/Drogerie/JHPAP</t>
        </is>
      </c>
    </row>
    <row r="368">
      <c r="A368" t="inlineStr">
        <is>
          <t>podmíněně</t>
        </is>
      </c>
      <c r="B368" t="inlineStr">
        <is>
          <t>Papírnictví a psací potřeby</t>
        </is>
      </c>
      <c r="C368" t="inlineStr">
        <is>
          <t>Popisovač syntetický obyč. barvy</t>
        </is>
      </c>
      <c r="D368" t="inlineStr">
        <is>
          <t>8888299842158</t>
        </is>
      </c>
      <c r="E368" t="n">
        <v>77</v>
      </c>
      <c r="F368" t="n">
        <v>2</v>
      </c>
      <c r="G368" t="n">
        <v>4</v>
      </c>
      <c r="H368" t="n">
        <v>3</v>
      </c>
      <c r="I368" t="n">
        <v>188</v>
      </c>
      <c r="J368" t="n">
        <v>55</v>
      </c>
      <c r="K368" t="n">
        <v>4</v>
      </c>
      <c r="L368" t="inlineStr">
        <is>
          <t>Z - TRADE s. r. o.</t>
        </is>
      </c>
      <c r="M368" t="inlineStr">
        <is>
          <t>Drogerie/Drogerie/Z-trade</t>
        </is>
      </c>
    </row>
    <row r="369">
      <c r="A369" t="inlineStr">
        <is>
          <t>podmíněně</t>
        </is>
      </c>
      <c r="B369" t="inlineStr">
        <is>
          <t>Ruční nářadí a měřidla</t>
        </is>
      </c>
      <c r="C369" t="inlineStr">
        <is>
          <t>Metr svinovací 5m</t>
        </is>
      </c>
      <c r="D369" t="inlineStr">
        <is>
          <t>8590804020462</t>
        </is>
      </c>
      <c r="E369" t="n">
        <v>99</v>
      </c>
      <c r="F369" t="n">
        <v>9</v>
      </c>
      <c r="G369" t="n">
        <v>9</v>
      </c>
      <c r="H369" t="n">
        <v>9</v>
      </c>
      <c r="I369" t="n">
        <v>709</v>
      </c>
      <c r="J369" t="n">
        <v>61</v>
      </c>
      <c r="K369" t="n">
        <v>5</v>
      </c>
      <c r="L369" t="inlineStr">
        <is>
          <t>EURO NÁŘADÍ s.r.o.</t>
        </is>
      </c>
      <c r="M369" t="inlineStr">
        <is>
          <t>Drogerie/Technické/Euronářadí</t>
        </is>
      </c>
    </row>
    <row r="370">
      <c r="A370" t="inlineStr">
        <is>
          <t>podmíněně</t>
        </is>
      </c>
      <c r="B370" t="inlineStr">
        <is>
          <t>Ruční nářadí a měřidla</t>
        </is>
      </c>
      <c r="C370" t="inlineStr">
        <is>
          <t>nůž odlamovací L25 18mm 16145 festa kovový</t>
        </is>
      </c>
      <c r="D370" t="inlineStr">
        <is>
          <t>8590804024361</t>
        </is>
      </c>
      <c r="E370" t="n">
        <v>89</v>
      </c>
      <c r="F370" t="n">
        <v>4</v>
      </c>
      <c r="G370" t="n">
        <v>9</v>
      </c>
      <c r="H370" t="n">
        <v>6.5</v>
      </c>
      <c r="I370" t="n">
        <v>461</v>
      </c>
      <c r="J370" t="n">
        <v>70</v>
      </c>
      <c r="K370" t="n">
        <v>0</v>
      </c>
      <c r="L370" t="inlineStr">
        <is>
          <t>EURO NÁŘADÍ s.r.o.</t>
        </is>
      </c>
      <c r="M370" t="inlineStr">
        <is>
          <t>Drogerie/Technické/Euronářadí</t>
        </is>
      </c>
    </row>
    <row r="371">
      <c r="A371" t="inlineStr">
        <is>
          <t>podmíněně</t>
        </is>
      </c>
      <c r="B371" t="inlineStr">
        <is>
          <t>Ruční nářadí a měřidla</t>
        </is>
      </c>
      <c r="C371" t="inlineStr">
        <is>
          <t>Kartáč 5ti řadý ocelový, plast 300 mm</t>
        </is>
      </c>
      <c r="D371" t="inlineStr">
        <is>
          <t>8590804022541</t>
        </is>
      </c>
      <c r="E371" t="n">
        <v>68</v>
      </c>
      <c r="F371" t="n">
        <v>2</v>
      </c>
      <c r="G371" t="n">
        <v>8</v>
      </c>
      <c r="H371" t="n">
        <v>5</v>
      </c>
      <c r="I371" t="n">
        <v>278</v>
      </c>
      <c r="J371" t="n">
        <v>76</v>
      </c>
      <c r="K371" t="n">
        <v>3</v>
      </c>
      <c r="L371" t="inlineStr">
        <is>
          <t>EURO NÁŘADÍ s.r.o.</t>
        </is>
      </c>
      <c r="M371" t="inlineStr">
        <is>
          <t>Drogerie/Technické/Euronářadí</t>
        </is>
      </c>
    </row>
    <row r="372">
      <c r="A372" t="inlineStr">
        <is>
          <t>podmíněně</t>
        </is>
      </c>
      <c r="B372" t="inlineStr">
        <is>
          <t>Ruční nářadí a měřidla</t>
        </is>
      </c>
      <c r="C372" t="inlineStr">
        <is>
          <t>Náhrady velké čepele 18 mm - 10 ks</t>
        </is>
      </c>
      <c r="D372" t="inlineStr">
        <is>
          <t>8590804010326</t>
        </is>
      </c>
      <c r="E372" t="n">
        <v>22</v>
      </c>
      <c r="F372" t="n">
        <v>3</v>
      </c>
      <c r="G372" t="n">
        <v>6</v>
      </c>
      <c r="H372" t="n">
        <v>4.5</v>
      </c>
      <c r="I372" t="n">
        <v>76</v>
      </c>
      <c r="J372" t="n">
        <v>129</v>
      </c>
      <c r="K372" t="n">
        <v>16</v>
      </c>
      <c r="L372" t="inlineStr">
        <is>
          <t>EURO NÁŘADÍ s.r.o.</t>
        </is>
      </c>
      <c r="M372" t="inlineStr">
        <is>
          <t>Drogerie/Technické/Euronářadí</t>
        </is>
      </c>
    </row>
    <row r="373">
      <c r="A373" t="inlineStr">
        <is>
          <t>podmíněně</t>
        </is>
      </c>
      <c r="B373" t="inlineStr">
        <is>
          <t>Ruční nářadí a měřidla</t>
        </is>
      </c>
      <c r="C373" t="inlineStr">
        <is>
          <t>Čepelky náhradní 18/ 0,5 mm, 10 ks, FESTA</t>
        </is>
      </c>
      <c r="D373" t="inlineStr">
        <is>
          <t>8590804038986</t>
        </is>
      </c>
      <c r="E373" t="n">
        <v>64</v>
      </c>
      <c r="F373" t="n">
        <v>6</v>
      </c>
      <c r="G373" t="n">
        <v>2</v>
      </c>
      <c r="H373" t="n">
        <v>4</v>
      </c>
      <c r="I373" t="n">
        <v>209</v>
      </c>
      <c r="J373" t="n">
        <v>92</v>
      </c>
      <c r="K373" t="n">
        <v>12</v>
      </c>
      <c r="L373" t="inlineStr">
        <is>
          <t>EURO NÁŘADÍ s.r.o.</t>
        </is>
      </c>
      <c r="M373" t="inlineStr">
        <is>
          <t>Drogerie/Technické/Euronářadí</t>
        </is>
      </c>
    </row>
    <row r="374">
      <c r="A374" t="inlineStr">
        <is>
          <t>podmíněně</t>
        </is>
      </c>
      <c r="B374" t="inlineStr">
        <is>
          <t>Ruční nářadí a měřidla</t>
        </is>
      </c>
      <c r="C374" t="inlineStr">
        <is>
          <t>FARMOSA RAN 18mm, 10x ostří 30553</t>
        </is>
      </c>
      <c r="D374" t="inlineStr">
        <is>
          <t>9002588305530</t>
        </is>
      </c>
      <c r="E374" t="n">
        <v>55</v>
      </c>
      <c r="F374" t="n">
        <v>6</v>
      </c>
      <c r="G374" t="n">
        <v>1</v>
      </c>
      <c r="H374" t="n">
        <v>3.5</v>
      </c>
      <c r="I374" t="n">
        <v>159</v>
      </c>
      <c r="J374" t="n">
        <v>51</v>
      </c>
      <c r="K374" t="n">
        <v>1</v>
      </c>
      <c r="L374" t="inlineStr">
        <is>
          <t>Schuller Eh'klar s.r.o.</t>
        </is>
      </c>
      <c r="M374" t="inlineStr">
        <is>
          <t>Drogerie/Technické/Schuller</t>
        </is>
      </c>
    </row>
    <row r="375">
      <c r="A375" t="inlineStr">
        <is>
          <t>podmíněně</t>
        </is>
      </c>
      <c r="B375" t="inlineStr">
        <is>
          <t>Ruční nářadí a měřidla</t>
        </is>
      </c>
      <c r="C375" t="inlineStr">
        <is>
          <t>Konnoc H-K2010021 zavírací nůž nerez</t>
        </is>
      </c>
      <c r="D375" t="inlineStr">
        <is>
          <t>8594026149949</t>
        </is>
      </c>
      <c r="E375" t="n">
        <v>163</v>
      </c>
      <c r="F375" t="n">
        <v>1</v>
      </c>
      <c r="G375" t="n">
        <v>6</v>
      </c>
      <c r="H375" t="n">
        <v>3.5</v>
      </c>
      <c r="I375" t="n">
        <v>454</v>
      </c>
      <c r="J375" t="n">
        <v>36</v>
      </c>
      <c r="K375" t="n">
        <v>6</v>
      </c>
      <c r="L375" t="inlineStr">
        <is>
          <t>JAROMÍR HUTLA - BATTERY CENTER s. r. o.</t>
        </is>
      </c>
      <c r="M375" t="inlineStr">
        <is>
          <t>Drogerie/Elektro/Hutla</t>
        </is>
      </c>
    </row>
    <row r="376">
      <c r="A376" t="inlineStr">
        <is>
          <t>podmíněně</t>
        </is>
      </c>
      <c r="B376" t="inlineStr">
        <is>
          <t>Ruční nářadí a měřidla</t>
        </is>
      </c>
      <c r="C376" t="inlineStr">
        <is>
          <t>Lakovací sada 10cm nylon</t>
        </is>
      </c>
      <c r="D376" t="inlineStr">
        <is>
          <t>9002588191300</t>
        </is>
      </c>
      <c r="E376" t="n">
        <v>59</v>
      </c>
      <c r="F376" t="n">
        <v>3</v>
      </c>
      <c r="G376" t="n">
        <v>3</v>
      </c>
      <c r="H376" t="n">
        <v>3</v>
      </c>
      <c r="I376" t="n">
        <v>146</v>
      </c>
      <c r="J376" t="n">
        <v>63</v>
      </c>
      <c r="K376" t="n">
        <v>6</v>
      </c>
      <c r="L376" t="inlineStr">
        <is>
          <t>Schuller Eh'klar s.r.o.</t>
        </is>
      </c>
      <c r="M376" t="inlineStr">
        <is>
          <t>Drogerie/Technické/Schuller</t>
        </is>
      </c>
    </row>
    <row r="377">
      <c r="A377" t="inlineStr">
        <is>
          <t>podmíněně</t>
        </is>
      </c>
      <c r="B377" t="inlineStr">
        <is>
          <t>Ruční nářadí a měřidla</t>
        </is>
      </c>
      <c r="C377" t="inlineStr">
        <is>
          <t>Metr svinovací 10m x 25mm CE 111110</t>
        </is>
      </c>
      <c r="D377" t="inlineStr">
        <is>
          <t>8590804020486</t>
        </is>
      </c>
      <c r="E377" t="n">
        <v>183</v>
      </c>
      <c r="F377" t="n">
        <v>4</v>
      </c>
      <c r="G377" t="n">
        <v>2</v>
      </c>
      <c r="H377" t="n">
        <v>3</v>
      </c>
      <c r="I377" t="n">
        <v>454</v>
      </c>
      <c r="J377" t="n">
        <v>43</v>
      </c>
      <c r="K377" t="n">
        <v>4</v>
      </c>
      <c r="L377" t="inlineStr">
        <is>
          <t>EURO NÁŘADÍ s.r.o.</t>
        </is>
      </c>
      <c r="M377" t="inlineStr">
        <is>
          <t>Drogerie/Technické/Euronářadí</t>
        </is>
      </c>
    </row>
    <row r="378">
      <c r="A378" t="inlineStr">
        <is>
          <t>podmíněně</t>
        </is>
      </c>
      <c r="B378" t="inlineStr">
        <is>
          <t>Ruční nářadí a měřidla</t>
        </is>
      </c>
      <c r="C378" t="inlineStr">
        <is>
          <t>Sada štětců eko bio rácio</t>
        </is>
      </c>
      <c r="D378" t="inlineStr">
        <is>
          <t>5902578472898</t>
        </is>
      </c>
      <c r="E378" t="n">
        <v>83</v>
      </c>
      <c r="F378" t="n">
        <v>3</v>
      </c>
      <c r="G378" t="n">
        <v>3</v>
      </c>
      <c r="H378" t="n">
        <v>3</v>
      </c>
      <c r="I378" t="n">
        <v>203</v>
      </c>
      <c r="J378" t="n">
        <v>50</v>
      </c>
      <c r="K378" t="n">
        <v>5</v>
      </c>
      <c r="L378" t="inlineStr">
        <is>
          <t>M.A.T. Group, s.r.o.</t>
        </is>
      </c>
      <c r="M378" t="inlineStr">
        <is>
          <t>Drogerie/Drogerie/MAT</t>
        </is>
      </c>
    </row>
    <row r="379">
      <c r="A379" t="inlineStr">
        <is>
          <t>podmíněně</t>
        </is>
      </c>
      <c r="B379" t="inlineStr">
        <is>
          <t>Spojovací materiál</t>
        </is>
      </c>
      <c r="C379" t="inlineStr">
        <is>
          <t>Šroub do plechu se zápustnou hlavou 2,9x13 PH ZB DIN 7982C závit celý</t>
        </is>
      </c>
      <c r="D379" t="inlineStr">
        <is>
          <t>8591530175167</t>
        </is>
      </c>
      <c r="E379" t="n">
        <v>0.4</v>
      </c>
      <c r="F379" t="n">
        <v>22</v>
      </c>
      <c r="G379" t="n">
        <v>52</v>
      </c>
      <c r="H379" t="n">
        <v>37</v>
      </c>
      <c r="I379" t="n">
        <v>12</v>
      </c>
      <c r="J379" t="n">
        <v>700</v>
      </c>
      <c r="K379" t="n">
        <v>350</v>
      </c>
      <c r="L379" t="inlineStr">
        <is>
          <t>Hašpl a.s.</t>
        </is>
      </c>
      <c r="M379" t="inlineStr">
        <is>
          <t>Drogerie/Technické/Hašpl</t>
        </is>
      </c>
    </row>
    <row r="380">
      <c r="A380" t="inlineStr">
        <is>
          <t>podmíněně</t>
        </is>
      </c>
      <c r="B380" t="inlineStr">
        <is>
          <t>Spojovací materiál</t>
        </is>
      </c>
      <c r="C380" t="inlineStr">
        <is>
          <t>Šroub do plechu se zápustnou hlavou 2,9x9,5 PH ZB DIN 7982C závit celý</t>
        </is>
      </c>
      <c r="D380" t="inlineStr">
        <is>
          <t>8591530175150</t>
        </is>
      </c>
      <c r="E380" t="n">
        <v>0.3</v>
      </c>
      <c r="F380" t="n">
        <v>20</v>
      </c>
      <c r="G380" t="n">
        <v>0</v>
      </c>
      <c r="H380" t="n">
        <v>10</v>
      </c>
      <c r="I380" t="n">
        <v>2</v>
      </c>
      <c r="J380" t="n">
        <v>0</v>
      </c>
      <c r="K380" t="n">
        <v>222</v>
      </c>
      <c r="L380" t="inlineStr">
        <is>
          <t>Hašpl a.s.</t>
        </is>
      </c>
      <c r="M380" t="inlineStr">
        <is>
          <t>Drogerie/Technické/Hašpl</t>
        </is>
      </c>
    </row>
    <row r="381">
      <c r="A381" t="inlineStr">
        <is>
          <t>podmíněně</t>
        </is>
      </c>
      <c r="B381" t="inlineStr">
        <is>
          <t>Spojovací materiál</t>
        </is>
      </c>
      <c r="C381" t="inlineStr">
        <is>
          <t>Chemická kotva- Perdix-909 , polyesterová 165ml</t>
        </is>
      </c>
      <c r="D381" t="inlineStr">
        <is>
          <t>8591256049988</t>
        </is>
      </c>
      <c r="E381" t="n">
        <v>165</v>
      </c>
      <c r="F381" t="n">
        <v>4</v>
      </c>
      <c r="G381" t="n">
        <v>3</v>
      </c>
      <c r="H381" t="n">
        <v>3.5</v>
      </c>
      <c r="I381" t="n">
        <v>463</v>
      </c>
      <c r="J381" t="n">
        <v>52</v>
      </c>
      <c r="K381" t="n">
        <v>7</v>
      </c>
      <c r="L381" t="inlineStr">
        <is>
          <t>DISTRIMO s.r.o.</t>
        </is>
      </c>
      <c r="M381" t="inlineStr">
        <is>
          <t>Drogerie/Technické/Distrimo</t>
        </is>
      </c>
    </row>
    <row r="382">
      <c r="A382" t="inlineStr">
        <is>
          <t>podmíněně</t>
        </is>
      </c>
      <c r="B382" t="inlineStr">
        <is>
          <t>Spojovací materiál</t>
        </is>
      </c>
      <c r="C382" t="inlineStr">
        <is>
          <t>Chemická kotva polyester SILCO, 300ml</t>
        </is>
      </c>
      <c r="D382" t="inlineStr">
        <is>
          <t>8594161050933</t>
        </is>
      </c>
      <c r="E382" t="n">
        <v>219</v>
      </c>
      <c r="F382" t="n">
        <v>2</v>
      </c>
      <c r="G382" t="n">
        <v>4</v>
      </c>
      <c r="H382" t="n">
        <v>3</v>
      </c>
      <c r="I382" t="n">
        <v>543</v>
      </c>
      <c r="J382" t="n">
        <v>64</v>
      </c>
      <c r="K382" t="n">
        <v>6</v>
      </c>
      <c r="L382" t="inlineStr">
        <is>
          <t>EURO NÁŘADÍ s.r.o.</t>
        </is>
      </c>
      <c r="M382" t="inlineStr">
        <is>
          <t>Drogerie/Technické/Euronářadí</t>
        </is>
      </c>
    </row>
    <row r="383">
      <c r="A383" t="inlineStr">
        <is>
          <t>podmíněně</t>
        </is>
      </c>
      <c r="B383" t="inlineStr">
        <is>
          <t>Velikonoční a sezónní zboží</t>
        </is>
      </c>
      <c r="C383" t="inlineStr">
        <is>
          <t>Barvy na vejce v prášku 5 barev</t>
        </is>
      </c>
      <c r="D383" t="inlineStr">
        <is>
          <t>8592001361126</t>
        </is>
      </c>
      <c r="E383" t="n">
        <v>12</v>
      </c>
      <c r="F383" t="n">
        <v>0</v>
      </c>
      <c r="G383" t="n">
        <v>18</v>
      </c>
      <c r="H383" t="n">
        <v>9</v>
      </c>
      <c r="I383" t="n">
        <v>102</v>
      </c>
      <c r="J383" t="n">
        <v>91</v>
      </c>
      <c r="K383" t="n">
        <v>0</v>
      </c>
      <c r="L383" t="inlineStr">
        <is>
          <t>Solvent ČR s.r.o.</t>
        </is>
      </c>
      <c r="M383" t="inlineStr">
        <is>
          <t>Drogerie/Drogerie/PKS</t>
        </is>
      </c>
    </row>
    <row r="384">
      <c r="A384" t="inlineStr">
        <is>
          <t>podmíněně</t>
        </is>
      </c>
      <c r="B384" t="inlineStr">
        <is>
          <t>Velikonoční a sezónní zboží</t>
        </is>
      </c>
      <c r="C384" t="inlineStr">
        <is>
          <t>Obtisky OVO tradiční 1ks</t>
        </is>
      </c>
      <c r="D384" t="inlineStr">
        <is>
          <t>8594825003299</t>
        </is>
      </c>
      <c r="E384" t="n">
        <v>19</v>
      </c>
      <c r="F384" t="n">
        <v>3</v>
      </c>
      <c r="G384" t="n">
        <v>8</v>
      </c>
      <c r="H384" t="n">
        <v>5.5</v>
      </c>
      <c r="I384" t="n">
        <v>85</v>
      </c>
      <c r="J384" t="n">
        <v>58</v>
      </c>
      <c r="K384" t="n">
        <v>-1</v>
      </c>
      <c r="L384" t="inlineStr">
        <is>
          <t>Solvent ČR s.r.o.</t>
        </is>
      </c>
      <c r="M384" t="inlineStr">
        <is>
          <t>Drogerie/Drogerie/PKS</t>
        </is>
      </c>
    </row>
    <row r="385">
      <c r="A385" t="inlineStr">
        <is>
          <t>podmíněně</t>
        </is>
      </c>
      <c r="B385" t="inlineStr">
        <is>
          <t>Velikonoční a sezónní zboží</t>
        </is>
      </c>
      <c r="C385" t="inlineStr">
        <is>
          <t>Ovo velikonoční barva červená</t>
        </is>
      </c>
      <c r="D385" t="inlineStr">
        <is>
          <t>8594825003176</t>
        </is>
      </c>
      <c r="E385" t="n">
        <v>13</v>
      </c>
      <c r="F385" t="n">
        <v>0</v>
      </c>
      <c r="G385" t="n">
        <v>6</v>
      </c>
      <c r="H385" t="n">
        <v>3</v>
      </c>
      <c r="I385" t="n">
        <v>32</v>
      </c>
      <c r="J385" t="n">
        <v>50</v>
      </c>
      <c r="K385" t="n">
        <v>0</v>
      </c>
      <c r="L385" t="inlineStr">
        <is>
          <t>Solvent ČR s.r.o.</t>
        </is>
      </c>
      <c r="M385" t="inlineStr">
        <is>
          <t>Drogerie/Drogerie/PKS</t>
        </is>
      </c>
    </row>
    <row r="386">
      <c r="A386" t="inlineStr">
        <is>
          <t>podmíněně</t>
        </is>
      </c>
      <c r="B386" t="inlineStr">
        <is>
          <t>Ředidla a technická chemie</t>
        </is>
      </c>
      <c r="C386" t="inlineStr">
        <is>
          <t xml:space="preserve">Ředidlo S6006 0,7L </t>
        </is>
      </c>
      <c r="D386" t="inlineStr">
        <is>
          <t>8591235071177</t>
        </is>
      </c>
      <c r="E386" t="n">
        <v>85</v>
      </c>
      <c r="F386" t="n">
        <v>20</v>
      </c>
      <c r="G386" t="n">
        <v>21</v>
      </c>
      <c r="H386" t="n">
        <v>20.5</v>
      </c>
      <c r="I386" t="n">
        <v>1433</v>
      </c>
      <c r="J386" t="n">
        <v>71</v>
      </c>
      <c r="K386" t="n">
        <v>24</v>
      </c>
      <c r="L386" t="inlineStr">
        <is>
          <t>BARVY A LAKY HOSTIVAŘ, a.s.</t>
        </is>
      </c>
      <c r="M386" t="inlineStr">
        <is>
          <t>Drogerie/Technické/BAL</t>
        </is>
      </c>
    </row>
    <row r="387">
      <c r="A387" t="inlineStr">
        <is>
          <t>podmíněně</t>
        </is>
      </c>
      <c r="B387" t="inlineStr">
        <is>
          <t>Ředidla a technická chemie</t>
        </is>
      </c>
      <c r="C387" t="inlineStr">
        <is>
          <t xml:space="preserve">Ředidlo S6005 0,7L </t>
        </is>
      </c>
      <c r="D387" t="inlineStr">
        <is>
          <t>8591235071153</t>
        </is>
      </c>
      <c r="E387" t="n">
        <v>95</v>
      </c>
      <c r="F387" t="n">
        <v>7</v>
      </c>
      <c r="G387" t="n">
        <v>17</v>
      </c>
      <c r="H387" t="n">
        <v>12</v>
      </c>
      <c r="I387" t="n">
        <v>942</v>
      </c>
      <c r="J387" t="n">
        <v>92</v>
      </c>
      <c r="K387" t="n">
        <v>33</v>
      </c>
      <c r="L387" t="inlineStr">
        <is>
          <t>BARVY A LAKY HOSTIVAŘ, a.s.</t>
        </is>
      </c>
      <c r="M387" t="inlineStr">
        <is>
          <t>Drogerie/Technické/BAL</t>
        </is>
      </c>
    </row>
    <row r="388">
      <c r="A388" t="inlineStr">
        <is>
          <t>podmíněně</t>
        </is>
      </c>
      <c r="B388" t="inlineStr">
        <is>
          <t>Ředidla a technická chemie</t>
        </is>
      </c>
      <c r="C388" t="inlineStr">
        <is>
          <t>HCl 1l kyselina solná</t>
        </is>
      </c>
      <c r="D388" t="inlineStr">
        <is>
          <t>8594027220616</t>
        </is>
      </c>
      <c r="E388" t="n">
        <v>69</v>
      </c>
      <c r="F388" t="n">
        <v>8</v>
      </c>
      <c r="G388" t="n">
        <v>9</v>
      </c>
      <c r="H388" t="n">
        <v>8.5</v>
      </c>
      <c r="I388" t="n">
        <v>483</v>
      </c>
      <c r="J388" t="n">
        <v>54</v>
      </c>
      <c r="K388" t="n">
        <v>11</v>
      </c>
      <c r="L388" t="inlineStr">
        <is>
          <t>Petr Turek</t>
        </is>
      </c>
      <c r="M388" t="inlineStr">
        <is>
          <t>Drogerie/Drogerie/Turek</t>
        </is>
      </c>
    </row>
    <row r="389">
      <c r="A389" t="inlineStr">
        <is>
          <t>podmíněně</t>
        </is>
      </c>
      <c r="B389" t="inlineStr">
        <is>
          <t>Ředidla a technická chemie</t>
        </is>
      </c>
      <c r="C389" t="inlineStr">
        <is>
          <t xml:space="preserve">Nitroředidlo C6000 UH 0,7 litr </t>
        </is>
      </c>
      <c r="D389" t="inlineStr">
        <is>
          <t>8595073026900</t>
        </is>
      </c>
      <c r="E389" t="n">
        <v>95</v>
      </c>
      <c r="F389" t="n">
        <v>6</v>
      </c>
      <c r="G389" t="n">
        <v>11</v>
      </c>
      <c r="H389" t="n">
        <v>8.5</v>
      </c>
      <c r="I389" t="n">
        <v>664</v>
      </c>
      <c r="J389" t="n">
        <v>70</v>
      </c>
      <c r="K389" t="n">
        <v>7</v>
      </c>
      <c r="L389" t="inlineStr">
        <is>
          <t>BARVY A LAKY HOSTIVAŘ, a.s.</t>
        </is>
      </c>
      <c r="M389" t="inlineStr">
        <is>
          <t>Drogerie/Technické/BAL</t>
        </is>
      </c>
    </row>
    <row r="390">
      <c r="A390" t="inlineStr">
        <is>
          <t>podmíněně</t>
        </is>
      </c>
      <c r="B390" t="inlineStr">
        <is>
          <t>Ředidla a technická chemie</t>
        </is>
      </c>
      <c r="C390" t="inlineStr">
        <is>
          <t>líh technický 700ml</t>
        </is>
      </c>
      <c r="D390" t="inlineStr">
        <is>
          <t>8591235071115</t>
        </is>
      </c>
      <c r="E390" t="n">
        <v>98</v>
      </c>
      <c r="F390" t="n">
        <v>0</v>
      </c>
      <c r="G390" t="n">
        <v>14</v>
      </c>
      <c r="H390" t="n">
        <v>7</v>
      </c>
      <c r="I390" t="n">
        <v>514</v>
      </c>
      <c r="J390" t="n">
        <v>90</v>
      </c>
      <c r="K390" t="n">
        <v>12</v>
      </c>
      <c r="L390" t="inlineStr">
        <is>
          <t>BARVY A LAKY HOSTIVAŘ, a.s.</t>
        </is>
      </c>
      <c r="M390" t="inlineStr">
        <is>
          <t>Drogerie/Technické/BAL</t>
        </is>
      </c>
    </row>
    <row r="391">
      <c r="A391" t="inlineStr">
        <is>
          <t>podmíněně</t>
        </is>
      </c>
      <c r="B391" t="inlineStr">
        <is>
          <t>Ředidla a technická chemie</t>
        </is>
      </c>
      <c r="C391" t="inlineStr">
        <is>
          <t>Kyselina citronová 100g</t>
        </is>
      </c>
      <c r="D391" t="inlineStr">
        <is>
          <t>8591235095197</t>
        </is>
      </c>
      <c r="E391" t="n">
        <v>22</v>
      </c>
      <c r="F391" t="n">
        <v>11</v>
      </c>
      <c r="G391" t="n">
        <v>1</v>
      </c>
      <c r="H391" t="n">
        <v>6</v>
      </c>
      <c r="I391" t="n">
        <v>111</v>
      </c>
      <c r="J391" t="n">
        <v>41</v>
      </c>
      <c r="K391" t="n">
        <v>68</v>
      </c>
      <c r="L391" t="inlineStr">
        <is>
          <t>BARVY A LAKY HOSTIVAŘ, a.s.</t>
        </is>
      </c>
      <c r="M391" t="inlineStr">
        <is>
          <t>Drogerie/Drogerie/BAL</t>
        </is>
      </c>
    </row>
    <row r="392">
      <c r="A392" t="inlineStr">
        <is>
          <t>podmíněně</t>
        </is>
      </c>
      <c r="B392" t="inlineStr">
        <is>
          <t>Ředidla a technická chemie</t>
        </is>
      </c>
      <c r="C392" t="inlineStr">
        <is>
          <t>Technický benzín 0,7L plast Host. - se spotřební daní !!!</t>
        </is>
      </c>
      <c r="D392" t="inlineStr">
        <is>
          <t>8591235071054</t>
        </is>
      </c>
      <c r="E392" t="n">
        <v>99</v>
      </c>
      <c r="F392" t="n">
        <v>6</v>
      </c>
      <c r="G392" t="n">
        <v>5</v>
      </c>
      <c r="H392" t="n">
        <v>5.5</v>
      </c>
      <c r="I392" t="n">
        <v>442</v>
      </c>
      <c r="J392" t="n">
        <v>61</v>
      </c>
      <c r="K392" t="n">
        <v>15</v>
      </c>
      <c r="L392" t="inlineStr">
        <is>
          <t>BARVY A LAKY HOSTIVAŘ, a.s.</t>
        </is>
      </c>
      <c r="M392" t="inlineStr">
        <is>
          <t>Drogerie/Technické/BAL</t>
        </is>
      </c>
    </row>
    <row r="393">
      <c r="A393" t="inlineStr">
        <is>
          <t>podmíněně</t>
        </is>
      </c>
      <c r="B393" t="inlineStr">
        <is>
          <t>Ředidla a technická chemie</t>
        </is>
      </c>
      <c r="C393" t="inlineStr">
        <is>
          <t>Ředidlo 420ml 6001</t>
        </is>
      </c>
      <c r="D393" t="inlineStr">
        <is>
          <t>8595009241407</t>
        </is>
      </c>
      <c r="E393" t="n">
        <v>39</v>
      </c>
      <c r="F393" t="n">
        <v>5</v>
      </c>
      <c r="G393" t="n">
        <v>4</v>
      </c>
      <c r="H393" t="n">
        <v>4.5</v>
      </c>
      <c r="I393" t="n">
        <v>145</v>
      </c>
      <c r="J393" t="n">
        <v>91</v>
      </c>
      <c r="K393" t="n">
        <v>6</v>
      </c>
      <c r="L393" t="inlineStr">
        <is>
          <t>Solvent ČR s.r.o.</t>
        </is>
      </c>
      <c r="M393" t="inlineStr">
        <is>
          <t>Drogerie/Technické/PKS</t>
        </is>
      </c>
    </row>
    <row r="394">
      <c r="A394" t="inlineStr">
        <is>
          <t>podmíněně</t>
        </is>
      </c>
      <c r="B394" t="inlineStr">
        <is>
          <t>Ředidla a technická chemie</t>
        </is>
      </c>
      <c r="C394" t="inlineStr">
        <is>
          <t>White Spirit Lakový benzín 700ml 1+1</t>
        </is>
      </c>
      <c r="D394" t="inlineStr">
        <is>
          <t>8595009250133</t>
        </is>
      </c>
      <c r="E394" t="n">
        <v>109</v>
      </c>
      <c r="F394" t="n">
        <v>7</v>
      </c>
      <c r="G394" t="n">
        <v>1</v>
      </c>
      <c r="H394" t="n">
        <v>4</v>
      </c>
      <c r="I394" t="n">
        <v>205</v>
      </c>
      <c r="J394" t="n">
        <v>431</v>
      </c>
      <c r="K394" t="n">
        <v>13</v>
      </c>
      <c r="L394" t="inlineStr">
        <is>
          <t>Solvent ČR s.r.o.</t>
        </is>
      </c>
      <c r="M394" t="inlineStr">
        <is>
          <t>Drogerie/Technické/PKS</t>
        </is>
      </c>
    </row>
    <row r="395">
      <c r="A395" t="inlineStr">
        <is>
          <t>podmíněně</t>
        </is>
      </c>
      <c r="B395" t="inlineStr">
        <is>
          <t>Ředidla a technická chemie</t>
        </is>
      </c>
      <c r="C395" t="inlineStr">
        <is>
          <t>Louh - hydroxid sodný 1 kg tekutý</t>
        </is>
      </c>
      <c r="D395" t="inlineStr">
        <is>
          <t>8595030511784</t>
        </is>
      </c>
      <c r="E395" t="n">
        <v>95</v>
      </c>
      <c r="F395" t="n">
        <v>4</v>
      </c>
      <c r="G395" t="n">
        <v>4</v>
      </c>
      <c r="H395" t="n">
        <v>4</v>
      </c>
      <c r="I395" t="n">
        <v>314</v>
      </c>
      <c r="J395" t="n">
        <v>52</v>
      </c>
      <c r="K395" t="n">
        <v>0</v>
      </c>
      <c r="L395" t="inlineStr">
        <is>
          <t>Solvent ČR s.r.o.</t>
        </is>
      </c>
      <c r="M395" t="inlineStr">
        <is>
          <t>Drogerie/Drogerie/PKS</t>
        </is>
      </c>
    </row>
    <row r="396">
      <c r="A396" t="inlineStr">
        <is>
          <t>podmíněně</t>
        </is>
      </c>
      <c r="B396" t="inlineStr">
        <is>
          <t>Ředidla a technická chemie</t>
        </is>
      </c>
      <c r="C396" t="inlineStr">
        <is>
          <t>Bílá vazelina 400ml TECTANE</t>
        </is>
      </c>
      <c r="D396" t="inlineStr">
        <is>
          <t>4001587020050</t>
        </is>
      </c>
      <c r="E396" t="n">
        <v>195</v>
      </c>
      <c r="F396" t="n">
        <v>2</v>
      </c>
      <c r="G396" t="n">
        <v>6</v>
      </c>
      <c r="H396" t="n">
        <v>4</v>
      </c>
      <c r="I396" t="n">
        <v>637</v>
      </c>
      <c r="J396" t="n">
        <v>55</v>
      </c>
      <c r="K396" t="n">
        <v>3</v>
      </c>
      <c r="L396" t="inlineStr">
        <is>
          <t>Den Braven Czech and Slovak a.s.</t>
        </is>
      </c>
      <c r="M396" t="inlineStr">
        <is>
          <t>Drogerie/Technické/DEN BRAVEN</t>
        </is>
      </c>
    </row>
    <row r="397">
      <c r="A397" t="inlineStr">
        <is>
          <t>podmíněně</t>
        </is>
      </c>
      <c r="B397" t="inlineStr">
        <is>
          <t>Ředidla a technická chemie</t>
        </is>
      </c>
      <c r="C397" t="inlineStr">
        <is>
          <t>Ředidlo S6300  700ml</t>
        </is>
      </c>
      <c r="D397" t="inlineStr">
        <is>
          <t>8595009240769</t>
        </is>
      </c>
      <c r="E397" t="n">
        <v>75</v>
      </c>
      <c r="F397" t="n">
        <v>4</v>
      </c>
      <c r="G397" t="n">
        <v>3</v>
      </c>
      <c r="H397" t="n">
        <v>3.5</v>
      </c>
      <c r="I397" t="n">
        <v>215</v>
      </c>
      <c r="J397" t="n">
        <v>141</v>
      </c>
      <c r="K397" t="n">
        <v>11</v>
      </c>
      <c r="L397" t="inlineStr">
        <is>
          <t>Solvent ČR s.r.o.</t>
        </is>
      </c>
      <c r="M397" t="inlineStr">
        <is>
          <t>Drogerie/Technické/PKS</t>
        </is>
      </c>
    </row>
    <row r="398">
      <c r="A398" t="inlineStr">
        <is>
          <t>podmíněně</t>
        </is>
      </c>
      <c r="B398" t="inlineStr">
        <is>
          <t>Ředidla a technická chemie</t>
        </is>
      </c>
      <c r="C398" t="inlineStr">
        <is>
          <t>HG odstraňovač nálepek 300 ml</t>
        </is>
      </c>
      <c r="D398" t="inlineStr">
        <is>
          <t>8711577015183</t>
        </is>
      </c>
      <c r="E398" t="n">
        <v>179</v>
      </c>
      <c r="F398" t="n">
        <v>4</v>
      </c>
      <c r="G398" t="n">
        <v>2</v>
      </c>
      <c r="H398" t="n">
        <v>3</v>
      </c>
      <c r="I398" t="n">
        <v>444</v>
      </c>
      <c r="J398" t="n">
        <v>48</v>
      </c>
      <c r="K398" t="n">
        <v>5</v>
      </c>
      <c r="L398" t="inlineStr">
        <is>
          <t>European Aerosols s.r.o.</t>
        </is>
      </c>
      <c r="M398" t="inlineStr">
        <is>
          <t>Drogerie/Drogerie/HG</t>
        </is>
      </c>
    </row>
    <row r="399">
      <c r="A399" t="inlineStr">
        <is>
          <t>podmíněně</t>
        </is>
      </c>
      <c r="B399" t="inlineStr">
        <is>
          <t>Ředidla a technická chemie</t>
        </is>
      </c>
      <c r="C399" t="inlineStr">
        <is>
          <t>Odrezovač nový 3 násobně účinný 0,5 litr</t>
        </is>
      </c>
      <c r="D399" t="inlineStr">
        <is>
          <t>8590281201132</t>
        </is>
      </c>
      <c r="E399" t="n">
        <v>112</v>
      </c>
      <c r="F399" t="n">
        <v>6</v>
      </c>
      <c r="G399" t="n">
        <v>0</v>
      </c>
      <c r="H399" t="n">
        <v>3</v>
      </c>
      <c r="I399" t="n">
        <v>278</v>
      </c>
      <c r="J399" t="n">
        <v>57</v>
      </c>
      <c r="K399" t="n">
        <v>8</v>
      </c>
      <c r="L399" t="inlineStr">
        <is>
          <t>BARVY A LAKY HOSTIVAŘ, a.s.</t>
        </is>
      </c>
      <c r="M399" t="inlineStr">
        <is>
          <t>Drogerie/Technické/BAL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3" customWidth="1" min="1" max="1"/>
    <col width="60" customWidth="1" min="2" max="2"/>
  </cols>
  <sheetData>
    <row r="1">
      <c r="A1" t="inlineStr">
        <is>
          <t>Položka</t>
        </is>
      </c>
      <c r="B1" t="inlineStr">
        <is>
          <t>Popis</t>
        </is>
      </c>
    </row>
    <row r="2">
      <c r="A2" t="inlineStr">
        <is>
          <t>Zdroj dat</t>
        </is>
      </c>
      <c r="B2" t="inlineStr">
        <is>
          <t>Export skladových karet "Zásoby.xlsx" (Google Drive, 8. 4. 2025), 12 897 karet, prodejna 1 (drogerie, barvy/laky, elektro, voda).</t>
        </is>
      </c>
    </row>
    <row r="3">
      <c r="A3" t="inlineStr">
        <is>
          <t>Období</t>
        </is>
      </c>
      <c r="B3" t="inlineStr">
        <is>
          <t>Sloupce "30 dní" = cca 9. 3. – 8. 4. 2025; sloupce "před rokem" = stejné okno 2024. Roční sloupce (365) byly v exportu prázdné.</t>
        </is>
      </c>
    </row>
    <row r="4">
      <c r="A4" t="inlineStr">
        <is>
          <t>Rozsah</t>
        </is>
      </c>
      <c r="B4" t="inlineStr">
        <is>
          <t>Obrat bez DPH. Pro srovnání: měsíční tržby prodejny Drogerie podle souboru Prumerny_nakup.xlsx (2023: 5,76 mil. Kč, 19 132 nákupů).</t>
        </is>
      </c>
    </row>
    <row r="5">
      <c r="A5" t="inlineStr">
        <is>
          <t>Metrika ks_měsíc_prům</t>
        </is>
      </c>
      <c r="B5" t="inlineStr">
        <is>
          <t>Průměr prodaných kusů za obě 30denní okna (2024 a 2025).</t>
        </is>
      </c>
    </row>
    <row r="6">
      <c r="A6" t="inlineStr">
        <is>
          <t>Metrika marže_%</t>
        </is>
      </c>
      <c r="B6" t="inlineStr">
        <is>
          <t>Zisk 30 / Obrat 30 z exportu (2025). U malířských potřeb očištěno o chybnou nákupní cenu položky "Váleček nylon 6cm" (zisk −12 322 Kč).</t>
        </is>
      </c>
    </row>
    <row r="7">
      <c r="A7" t="inlineStr">
        <is>
          <t>Vhodnost 24/7</t>
        </is>
      </c>
      <c r="B7" t="inlineStr">
        <is>
          <t>Expertní hodnocení 1–5: frekvence, cena (ideálně do 150 Kč), potřeba poradenství, právní/požární omezení, rozměr a trvanlivost.</t>
        </is>
      </c>
    </row>
    <row r="8">
      <c r="A8" t="inlineStr">
        <is>
          <t>Kandidátní položky</t>
        </is>
      </c>
      <c r="B8" t="inlineStr">
        <is>
          <t>Položky s ≥ 6 prodanými kusy za obě okna (≥ 3 ks/měsíc) a cenou do 300 Kč. "jádro" = skupina s vhodností ≥ 4, "podmíněně" = vhodnost 3.</t>
        </is>
      </c>
    </row>
    <row r="9">
      <c r="A9" t="inlineStr">
        <is>
          <t>Omezení</t>
        </is>
      </c>
      <c r="B9" t="inlineStr">
        <is>
          <t>Produktové skupiny vznikly klasifikací názvů klíčovými slovy (cca 10 % kusů zůstalo nezařazeno). Data neobsahují prodejnu 2 (železářství, stavba, zahrada, rybařina) ani e-shop; okno březen/duben nezachytí zimní a předvánoční sezónu.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2026-09-22T21:51:11Z</dcterms:created>
  <dcterms:modified xsi:type="dcterms:W3CDTF">2026-09-22T23:25:04Z</dcterms:modified>
</cp:coreProperties>
</file>